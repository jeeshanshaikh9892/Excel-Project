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https://d.docs.live.net/740ff857b487d5be/Desktop/My Project/"/>
    </mc:Choice>
  </mc:AlternateContent>
  <xr:revisionPtr revIDLastSave="125" documentId="11_FFC65FC03799ECF702170B19E354826076AD9DD4" xr6:coauthVersionLast="47" xr6:coauthVersionMax="47" xr10:uidLastSave="{757A2F7C-6600-44A6-A806-2F3672715CC9}"/>
  <bookViews>
    <workbookView xWindow="-108" yWindow="-108" windowWidth="23256" windowHeight="12456" xr2:uid="{00000000-000D-0000-FFFF-FFFF00000000}"/>
  </bookViews>
  <sheets>
    <sheet name="REPORT" sheetId="3" r:id="rId1"/>
    <sheet name="Piviot data" sheetId="2" r:id="rId2"/>
    <sheet name="DATA" sheetId="1" r:id="rId3"/>
  </sheets>
  <definedNames>
    <definedName name="_xlnm._FilterDatabase" localSheetId="2" hidden="1">DATA!$A$1:$I$221</definedName>
    <definedName name="_xlcn.WorksheetConnection_DATAA1H2211" hidden="1">DATA!$A$1:$I$221</definedName>
    <definedName name="Slicer_City">#N/A</definedName>
    <definedName name="Slicer_Month__Month">#N/A</definedName>
    <definedName name="Slicer_Product">#N/A</definedName>
    <definedName name="Slicer_Region">#N/A</definedName>
    <definedName name="Slicer_Sales_Rep">#N/A</definedName>
  </definedNames>
  <calcPr calcId="191029"/>
  <pivotCaches>
    <pivotCache cacheId="195" r:id="rId4"/>
    <pivotCache cacheId="198" r:id="rId5"/>
    <pivotCache cacheId="201" r:id="rId6"/>
    <pivotCache cacheId="204" r:id="rId7"/>
    <pivotCache cacheId="207" r:id="rId8"/>
  </pivotCaches>
  <extLst>
    <ext xmlns:x14="http://schemas.microsoft.com/office/spreadsheetml/2009/9/main" uri="{876F7934-8845-4945-9796-88D515C7AA90}">
      <x14:pivotCaches>
        <pivotCache cacheId="104"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H$221"/>
        </x15:modelTables>
        <x15:extLst>
          <ext xmlns:x16="http://schemas.microsoft.com/office/spreadsheetml/2014/11/main" uri="{9835A34E-60A6-4A7C-AAB8-D5F71C897F49}">
            <x16:modelTimeGroupings>
              <x16:modelTimeGrouping tableName="Range"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B807B5-AA95-4140-B10C-6D19F3D85E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FB0F34-1104-4DCC-B98D-ECFB1C3C063F}" name="WorksheetConnection_DATA!$A$1:$H$221" type="102" refreshedVersion="8" minRefreshableVersion="5">
    <extLst>
      <ext xmlns:x15="http://schemas.microsoft.com/office/spreadsheetml/2010/11/main" uri="{DE250136-89BD-433C-8126-D09CA5730AF9}">
        <x15:connection id="Range" autoDelete="1">
          <x15:rangePr sourceName="_xlcn.WorksheetConnection_DATAA1H2211"/>
        </x15:connection>
      </ext>
    </extLst>
  </connection>
</connections>
</file>

<file path=xl/sharedStrings.xml><?xml version="1.0" encoding="utf-8"?>
<sst xmlns="http://schemas.openxmlformats.org/spreadsheetml/2006/main" count="953" uniqueCount="61">
  <si>
    <t>Date</t>
  </si>
  <si>
    <t>Region</t>
  </si>
  <si>
    <t>City</t>
  </si>
  <si>
    <t>Sales Rep</t>
  </si>
  <si>
    <t>Product</t>
  </si>
  <si>
    <t>Units Sold</t>
  </si>
  <si>
    <t>Unit Price</t>
  </si>
  <si>
    <t>Revenue</t>
  </si>
  <si>
    <t>North</t>
  </si>
  <si>
    <t>West</t>
  </si>
  <si>
    <t>South</t>
  </si>
  <si>
    <t>East</t>
  </si>
  <si>
    <t>Delhi</t>
  </si>
  <si>
    <t>Mumbai</t>
  </si>
  <si>
    <t>Ahmedabad</t>
  </si>
  <si>
    <t>Lucknow</t>
  </si>
  <si>
    <t>Chennai</t>
  </si>
  <si>
    <t>Hyderabad</t>
  </si>
  <si>
    <t>Bangalore</t>
  </si>
  <si>
    <t>Kolkata</t>
  </si>
  <si>
    <t>Bhubaneswar</t>
  </si>
  <si>
    <t>Chandigarh</t>
  </si>
  <si>
    <t>Patna</t>
  </si>
  <si>
    <t>Pune</t>
  </si>
  <si>
    <t>Rohan Sharma</t>
  </si>
  <si>
    <t>Priya Menon</t>
  </si>
  <si>
    <t>Jeeshan Shaikh</t>
  </si>
  <si>
    <t>Amit Verma</t>
  </si>
  <si>
    <t>Neha Gupta</t>
  </si>
  <si>
    <t>Laptop</t>
  </si>
  <si>
    <t>Tablet</t>
  </si>
  <si>
    <t>Headphones</t>
  </si>
  <si>
    <t>Smartphone</t>
  </si>
  <si>
    <t>Smartwatch</t>
  </si>
  <si>
    <t>Grand Total</t>
  </si>
  <si>
    <t>Row Labels</t>
  </si>
  <si>
    <t>Sum of Revenue</t>
  </si>
  <si>
    <t>Month</t>
  </si>
  <si>
    <t>Apr</t>
  </si>
  <si>
    <t>Feb</t>
  </si>
  <si>
    <t>Jan</t>
  </si>
  <si>
    <t>Jun</t>
  </si>
  <si>
    <t>Mar</t>
  </si>
  <si>
    <t>May</t>
  </si>
  <si>
    <t>Priya Roy</t>
  </si>
  <si>
    <t>Ravi Yadav</t>
  </si>
  <si>
    <t>Monu Gupta</t>
  </si>
  <si>
    <t>Vishal Gupta</t>
  </si>
  <si>
    <t>Aryan Varma</t>
  </si>
  <si>
    <t>Anita Yadav</t>
  </si>
  <si>
    <t>Neha Yadav</t>
  </si>
  <si>
    <t>Rashid Shaikh</t>
  </si>
  <si>
    <t>Amaan Shaikh</t>
  </si>
  <si>
    <t>Nidhi Rathod</t>
  </si>
  <si>
    <t>Sneha Pawar</t>
  </si>
  <si>
    <t>John Nadar</t>
  </si>
  <si>
    <t>Mohit Shaikh</t>
  </si>
  <si>
    <t>Sahil Kamble</t>
  </si>
  <si>
    <t>Saurabh Kumar</t>
  </si>
  <si>
    <t>Vrushali Mishra</t>
  </si>
  <si>
    <t>Kanchan Pawar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</si>
</sst>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numFmt numFmtId="167" formatCode="_ [$₹-44E]* #,##0.00_ ;_ [$₹-44E]* \-#,##0.00_ ;_ [$₹-44E]*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167" fontId="1" fillId="0" borderId="1" xfId="0" applyNumberFormat="1" applyFont="1" applyBorder="1" applyAlignment="1">
      <alignment horizontal="center" vertical="center"/>
    </xf>
    <xf numFmtId="167" fontId="0" fillId="0" borderId="0" xfId="0" applyNumberFormat="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[Sales_data_2025.xlsx]Piviot data!PivotTable6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 data'!$E$3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data'!$D$4:$D$26</c:f>
              <c:strCache>
                <c:ptCount val="22"/>
                <c:pt idx="0">
                  <c:v>Amaan Shaikh</c:v>
                </c:pt>
                <c:pt idx="1">
                  <c:v>Amit Verma</c:v>
                </c:pt>
                <c:pt idx="2">
                  <c:v>Anita Yadav</c:v>
                </c:pt>
                <c:pt idx="3">
                  <c:v>Aryan Varma</c:v>
                </c:pt>
                <c:pt idx="4">
                  <c:v>Jeeshan Shaikh</c:v>
                </c:pt>
                <c:pt idx="5">
                  <c:v>John Nadar</c:v>
                </c:pt>
                <c:pt idx="6">
                  <c:v>Kanchan Pawar</c:v>
                </c:pt>
                <c:pt idx="7">
                  <c:v>Mohit Shaikh</c:v>
                </c:pt>
                <c:pt idx="8">
                  <c:v>Monu Gupta</c:v>
                </c:pt>
                <c:pt idx="9">
                  <c:v>Neha Gupta</c:v>
                </c:pt>
                <c:pt idx="10">
                  <c:v>Neha Yadav</c:v>
                </c:pt>
                <c:pt idx="11">
                  <c:v>Nidhi Rathod</c:v>
                </c:pt>
                <c:pt idx="12">
                  <c:v>Priya Menon</c:v>
                </c:pt>
                <c:pt idx="13">
                  <c:v>Priya Roy</c:v>
                </c:pt>
                <c:pt idx="14">
                  <c:v>Rashid Shaikh</c:v>
                </c:pt>
                <c:pt idx="15">
                  <c:v>Ravi Yadav</c:v>
                </c:pt>
                <c:pt idx="16">
                  <c:v>Rohan Sharma</c:v>
                </c:pt>
                <c:pt idx="17">
                  <c:v>Sahil Kamble</c:v>
                </c:pt>
                <c:pt idx="18">
                  <c:v>Saurabh Kumar</c:v>
                </c:pt>
                <c:pt idx="19">
                  <c:v>Sneha Pawar</c:v>
                </c:pt>
                <c:pt idx="20">
                  <c:v>Vishal Gupta</c:v>
                </c:pt>
                <c:pt idx="21">
                  <c:v>Vrushali Mishra</c:v>
                </c:pt>
              </c:strCache>
            </c:strRef>
          </c:cat>
          <c:val>
            <c:numRef>
              <c:f>'Piviot data'!$E$4:$E$26</c:f>
              <c:numCache>
                <c:formatCode>General</c:formatCode>
                <c:ptCount val="22"/>
                <c:pt idx="0">
                  <c:v>8770810</c:v>
                </c:pt>
                <c:pt idx="1">
                  <c:v>6099360</c:v>
                </c:pt>
                <c:pt idx="2">
                  <c:v>6983155</c:v>
                </c:pt>
                <c:pt idx="3">
                  <c:v>4771634</c:v>
                </c:pt>
                <c:pt idx="4">
                  <c:v>7237088</c:v>
                </c:pt>
                <c:pt idx="5">
                  <c:v>9379161</c:v>
                </c:pt>
                <c:pt idx="6">
                  <c:v>7423482</c:v>
                </c:pt>
                <c:pt idx="7">
                  <c:v>3723258</c:v>
                </c:pt>
                <c:pt idx="8">
                  <c:v>5955780</c:v>
                </c:pt>
                <c:pt idx="9">
                  <c:v>3216393</c:v>
                </c:pt>
                <c:pt idx="10">
                  <c:v>2524441</c:v>
                </c:pt>
                <c:pt idx="11">
                  <c:v>7027693</c:v>
                </c:pt>
                <c:pt idx="12">
                  <c:v>8233257</c:v>
                </c:pt>
                <c:pt idx="13">
                  <c:v>6157869</c:v>
                </c:pt>
                <c:pt idx="14">
                  <c:v>7513515</c:v>
                </c:pt>
                <c:pt idx="15">
                  <c:v>4152253</c:v>
                </c:pt>
                <c:pt idx="16">
                  <c:v>4352216</c:v>
                </c:pt>
                <c:pt idx="17">
                  <c:v>11029136</c:v>
                </c:pt>
                <c:pt idx="18">
                  <c:v>6181420</c:v>
                </c:pt>
                <c:pt idx="19">
                  <c:v>3580640</c:v>
                </c:pt>
                <c:pt idx="20">
                  <c:v>7480152</c:v>
                </c:pt>
                <c:pt idx="21">
                  <c:v>11527831</c:v>
                </c:pt>
              </c:numCache>
            </c:numRef>
          </c:val>
          <c:extLst>
            <c:ext xmlns:c16="http://schemas.microsoft.com/office/drawing/2014/chart" uri="{C3380CC4-5D6E-409C-BE32-E72D297353CC}">
              <c16:uniqueId val="{00000000-1F55-4BB6-929A-CFB3D0CF0BD0}"/>
            </c:ext>
          </c:extLst>
        </c:ser>
        <c:dLbls>
          <c:dLblPos val="outEnd"/>
          <c:showLegendKey val="0"/>
          <c:showVal val="1"/>
          <c:showCatName val="0"/>
          <c:showSerName val="0"/>
          <c:showPercent val="0"/>
          <c:showBubbleSize val="0"/>
        </c:dLbls>
        <c:gapWidth val="182"/>
        <c:axId val="1696012192"/>
        <c:axId val="1696009280"/>
      </c:barChart>
      <c:catAx>
        <c:axId val="1696012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09280"/>
        <c:crosses val="autoZero"/>
        <c:auto val="1"/>
        <c:lblAlgn val="ctr"/>
        <c:lblOffset val="100"/>
        <c:noMultiLvlLbl val="0"/>
      </c:catAx>
      <c:valAx>
        <c:axId val="1696009280"/>
        <c:scaling>
          <c:orientation val="minMax"/>
        </c:scaling>
        <c:delete val="1"/>
        <c:axPos val="b"/>
        <c:numFmt formatCode="General" sourceLinked="1"/>
        <c:majorTickMark val="out"/>
        <c:minorTickMark val="none"/>
        <c:tickLblPos val="nextTo"/>
        <c:crossAx val="169601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[Sales_data_2025.xlsx]Piviot 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Revenue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58168942842783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639858371269599E-2"/>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052604957005578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76176024279210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465351542741432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93626707132036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data'!$M$3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2796-4974-A9E6-E59CADFDBCDF}"/>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2796-4974-A9E6-E59CADFDBCDF}"/>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2796-4974-A9E6-E59CADFDBCDF}"/>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2796-4974-A9E6-E59CADFDBCDF}"/>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2796-4974-A9E6-E59CADFDBCDF}"/>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2796-4974-A9E6-E59CADFDBCDF}"/>
              </c:ext>
            </c:extLst>
          </c:dPt>
          <c:dLbls>
            <c:dLbl>
              <c:idx val="0"/>
              <c:layout>
                <c:manualLayout>
                  <c:x val="-4.8052604957005578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96-4974-A9E6-E59CADFDBCDF}"/>
                </c:ext>
              </c:extLst>
            </c:dLbl>
            <c:dLbl>
              <c:idx val="1"/>
              <c:layout>
                <c:manualLayout>
                  <c:x val="-5.5639858371269599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96-4974-A9E6-E59CADFDBCDF}"/>
                </c:ext>
              </c:extLst>
            </c:dLbl>
            <c:dLbl>
              <c:idx val="2"/>
              <c:layout>
                <c:manualLayout>
                  <c:x val="-5.0581689428427839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96-4974-A9E6-E59CADFDBCDF}"/>
                </c:ext>
              </c:extLst>
            </c:dLbl>
            <c:dLbl>
              <c:idx val="3"/>
              <c:layout>
                <c:manualLayout>
                  <c:x val="-2.276176024279210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96-4974-A9E6-E59CADFDBCDF}"/>
                </c:ext>
              </c:extLst>
            </c:dLbl>
            <c:dLbl>
              <c:idx val="4"/>
              <c:layout>
                <c:manualLayout>
                  <c:x val="-4.0465351542741432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96-4974-A9E6-E59CADFDBCDF}"/>
                </c:ext>
              </c:extLst>
            </c:dLbl>
            <c:dLbl>
              <c:idx val="5"/>
              <c:layout>
                <c:manualLayout>
                  <c:x val="-3.7936267071320369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96-4974-A9E6-E59CADFDBC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data'!$L$4:$L$10</c:f>
              <c:strCache>
                <c:ptCount val="6"/>
                <c:pt idx="0">
                  <c:v>Jan</c:v>
                </c:pt>
                <c:pt idx="1">
                  <c:v>Feb</c:v>
                </c:pt>
                <c:pt idx="2">
                  <c:v>Mar</c:v>
                </c:pt>
                <c:pt idx="3">
                  <c:v>Apr</c:v>
                </c:pt>
                <c:pt idx="4">
                  <c:v>May</c:v>
                </c:pt>
                <c:pt idx="5">
                  <c:v>Jun</c:v>
                </c:pt>
              </c:strCache>
            </c:strRef>
          </c:cat>
          <c:val>
            <c:numRef>
              <c:f>'Piviot data'!$M$4:$M$10</c:f>
              <c:numCache>
                <c:formatCode>General</c:formatCode>
                <c:ptCount val="6"/>
                <c:pt idx="0">
                  <c:v>22447246</c:v>
                </c:pt>
                <c:pt idx="1">
                  <c:v>19144331</c:v>
                </c:pt>
                <c:pt idx="2">
                  <c:v>25302548</c:v>
                </c:pt>
                <c:pt idx="3">
                  <c:v>30973168</c:v>
                </c:pt>
                <c:pt idx="4">
                  <c:v>22027323</c:v>
                </c:pt>
                <c:pt idx="5">
                  <c:v>23425928</c:v>
                </c:pt>
              </c:numCache>
            </c:numRef>
          </c:val>
          <c:smooth val="0"/>
          <c:extLst>
            <c:ext xmlns:c16="http://schemas.microsoft.com/office/drawing/2014/chart" uri="{C3380CC4-5D6E-409C-BE32-E72D297353CC}">
              <c16:uniqueId val="{00000000-B3FF-473C-80D6-9DF9BCEB091C}"/>
            </c:ext>
          </c:extLst>
        </c:ser>
        <c:dLbls>
          <c:showLegendKey val="0"/>
          <c:showVal val="1"/>
          <c:showCatName val="0"/>
          <c:showSerName val="0"/>
          <c:showPercent val="0"/>
          <c:showBubbleSize val="0"/>
        </c:dLbls>
        <c:marker val="1"/>
        <c:smooth val="0"/>
        <c:axId val="1133685552"/>
        <c:axId val="1133685968"/>
      </c:lineChart>
      <c:catAx>
        <c:axId val="113368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85968"/>
        <c:crosses val="autoZero"/>
        <c:auto val="1"/>
        <c:lblAlgn val="ctr"/>
        <c:lblOffset val="100"/>
        <c:noMultiLvlLbl val="0"/>
      </c:catAx>
      <c:valAx>
        <c:axId val="1133685968"/>
        <c:scaling>
          <c:orientation val="minMax"/>
        </c:scaling>
        <c:delete val="1"/>
        <c:axPos val="l"/>
        <c:numFmt formatCode="General" sourceLinked="1"/>
        <c:majorTickMark val="out"/>
        <c:minorTickMark val="none"/>
        <c:tickLblPos val="nextTo"/>
        <c:crossAx val="113368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[Sales_data_2025.xlsx]Piviot data!PivotTable4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layout>
        <c:manualLayout>
          <c:xMode val="edge"/>
          <c:yMode val="edge"/>
          <c:x val="0.27766666666666667"/>
          <c:y val="5.08474576271186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2482414698162791E-2"/>
              <c:y val="2.97255215979361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7038057742782155E-3"/>
              <c:y val="-0.19928008998875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3502755905511812E-2"/>
              <c:y val="-7.4366797900262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787401574803144E-3"/>
              <c:y val="7.147544056992875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2499737532808398E-2"/>
              <c:y val="6.8911698537682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58950131233593"/>
          <c:y val="0.31933226567018114"/>
          <c:w val="0.36682125984251968"/>
          <c:h val="0.62173094888562663"/>
        </c:manualLayout>
      </c:layout>
      <c:pieChart>
        <c:varyColors val="1"/>
        <c:ser>
          <c:idx val="0"/>
          <c:order val="0"/>
          <c:tx>
            <c:strRef>
              <c:f>'Piviot data'!$P$3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E1-44B2-A536-679B971C8B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E1-44B2-A536-679B971C8B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E1-44B2-A536-679B971C8B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E1-44B2-A536-679B971C8B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E1-44B2-A536-679B971C8B19}"/>
              </c:ext>
            </c:extLst>
          </c:dPt>
          <c:dLbls>
            <c:dLbl>
              <c:idx val="0"/>
              <c:layout>
                <c:manualLayout>
                  <c:x val="6.2482414698162791E-2"/>
                  <c:y val="2.9725521597936109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E1-44B2-A536-679B971C8B19}"/>
                </c:ext>
              </c:extLst>
            </c:dLbl>
            <c:dLbl>
              <c:idx val="1"/>
              <c:layout>
                <c:manualLayout>
                  <c:x val="-4.7038057742782155E-3"/>
                  <c:y val="-0.1992800899887514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1-44B2-A536-679B971C8B19}"/>
                </c:ext>
              </c:extLst>
            </c:dLbl>
            <c:dLbl>
              <c:idx val="2"/>
              <c:layout>
                <c:manualLayout>
                  <c:x val="-2.3502755905511812E-2"/>
                  <c:y val="-7.436679790026247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1-44B2-A536-679B971C8B19}"/>
                </c:ext>
              </c:extLst>
            </c:dLbl>
            <c:dLbl>
              <c:idx val="3"/>
              <c:layout>
                <c:manualLayout>
                  <c:x val="8.0787401574803144E-3"/>
                  <c:y val="7.1475440569928759E-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1-44B2-A536-679B971C8B19}"/>
                </c:ext>
              </c:extLst>
            </c:dLbl>
            <c:dLbl>
              <c:idx val="4"/>
              <c:layout>
                <c:manualLayout>
                  <c:x val="-1.2499737532808398E-2"/>
                  <c:y val="6.891169853768251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1-44B2-A536-679B971C8B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'Piviot data'!$O$4:$O$9</c:f>
              <c:strCache>
                <c:ptCount val="5"/>
                <c:pt idx="0">
                  <c:v>Headphones</c:v>
                </c:pt>
                <c:pt idx="1">
                  <c:v>Laptop</c:v>
                </c:pt>
                <c:pt idx="2">
                  <c:v>Smartphone</c:v>
                </c:pt>
                <c:pt idx="3">
                  <c:v>Smartwatch</c:v>
                </c:pt>
                <c:pt idx="4">
                  <c:v>Tablet</c:v>
                </c:pt>
              </c:strCache>
            </c:strRef>
          </c:cat>
          <c:val>
            <c:numRef>
              <c:f>'Piviot data'!$P$4:$P$9</c:f>
              <c:numCache>
                <c:formatCode>General</c:formatCode>
                <c:ptCount val="5"/>
                <c:pt idx="0">
                  <c:v>3664742</c:v>
                </c:pt>
                <c:pt idx="1">
                  <c:v>77091676</c:v>
                </c:pt>
                <c:pt idx="2">
                  <c:v>27849029</c:v>
                </c:pt>
                <c:pt idx="3">
                  <c:v>13462932</c:v>
                </c:pt>
                <c:pt idx="4">
                  <c:v>21252165</c:v>
                </c:pt>
              </c:numCache>
            </c:numRef>
          </c:val>
          <c:extLst>
            <c:ext xmlns:c16="http://schemas.microsoft.com/office/drawing/2014/chart" uri="{C3380CC4-5D6E-409C-BE32-E72D297353CC}">
              <c16:uniqueId val="{0000000A-67E1-44B2-A536-679B971C8B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[Sales_data_2025.xlsx]Piviot data!PivotTable1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data'!$B$3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data'!$A$4:$A$8</c:f>
              <c:strCache>
                <c:ptCount val="4"/>
                <c:pt idx="0">
                  <c:v>East</c:v>
                </c:pt>
                <c:pt idx="1">
                  <c:v>North</c:v>
                </c:pt>
                <c:pt idx="2">
                  <c:v>South</c:v>
                </c:pt>
                <c:pt idx="3">
                  <c:v>West</c:v>
                </c:pt>
              </c:strCache>
            </c:strRef>
          </c:cat>
          <c:val>
            <c:numRef>
              <c:f>'Piviot data'!$B$4:$B$8</c:f>
              <c:numCache>
                <c:formatCode>General</c:formatCode>
                <c:ptCount val="4"/>
                <c:pt idx="0">
                  <c:v>41562185</c:v>
                </c:pt>
                <c:pt idx="1">
                  <c:v>35894536</c:v>
                </c:pt>
                <c:pt idx="2">
                  <c:v>36450859</c:v>
                </c:pt>
                <c:pt idx="3">
                  <c:v>29412964</c:v>
                </c:pt>
              </c:numCache>
            </c:numRef>
          </c:val>
          <c:extLst>
            <c:ext xmlns:c16="http://schemas.microsoft.com/office/drawing/2014/chart" uri="{C3380CC4-5D6E-409C-BE32-E72D297353CC}">
              <c16:uniqueId val="{00000000-E19D-4E73-808C-EA43CF086E3B}"/>
            </c:ext>
          </c:extLst>
        </c:ser>
        <c:dLbls>
          <c:dLblPos val="outEnd"/>
          <c:showLegendKey val="0"/>
          <c:showVal val="1"/>
          <c:showCatName val="0"/>
          <c:showSerName val="0"/>
          <c:showPercent val="0"/>
          <c:showBubbleSize val="0"/>
        </c:dLbls>
        <c:gapWidth val="219"/>
        <c:overlap val="-27"/>
        <c:axId val="1700034432"/>
        <c:axId val="1700034848"/>
      </c:barChart>
      <c:catAx>
        <c:axId val="1700034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034848"/>
        <c:crosses val="autoZero"/>
        <c:auto val="1"/>
        <c:lblAlgn val="ctr"/>
        <c:lblOffset val="100"/>
        <c:noMultiLvlLbl val="0"/>
      </c:catAx>
      <c:valAx>
        <c:axId val="1700034848"/>
        <c:scaling>
          <c:orientation val="minMax"/>
        </c:scaling>
        <c:delete val="1"/>
        <c:axPos val="l"/>
        <c:numFmt formatCode="General" sourceLinked="1"/>
        <c:majorTickMark val="none"/>
        <c:minorTickMark val="none"/>
        <c:tickLblPos val="nextTo"/>
        <c:crossAx val="17000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[Sales_data_2025.xlsx]Piviot data!PivotTable3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60846586134243E-2"/>
          <c:y val="0.19486111111111112"/>
          <c:w val="0.93003516821398846"/>
          <c:h val="0.57206838728492271"/>
        </c:manualLayout>
      </c:layout>
      <c:barChart>
        <c:barDir val="col"/>
        <c:grouping val="clustered"/>
        <c:varyColors val="0"/>
        <c:ser>
          <c:idx val="0"/>
          <c:order val="0"/>
          <c:tx>
            <c:strRef>
              <c:f>'Piviot data'!$I$3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data'!$H$4:$H$16</c:f>
              <c:strCache>
                <c:ptCount val="12"/>
                <c:pt idx="0">
                  <c:v>Patna</c:v>
                </c:pt>
                <c:pt idx="1">
                  <c:v>Ahmedabad</c:v>
                </c:pt>
                <c:pt idx="2">
                  <c:v>Bangalore</c:v>
                </c:pt>
                <c:pt idx="3">
                  <c:v>Bhubaneswar</c:v>
                </c:pt>
                <c:pt idx="4">
                  <c:v>Chandigarh</c:v>
                </c:pt>
                <c:pt idx="5">
                  <c:v>Chennai</c:v>
                </c:pt>
                <c:pt idx="6">
                  <c:v>Delhi</c:v>
                </c:pt>
                <c:pt idx="7">
                  <c:v>Hyderabad</c:v>
                </c:pt>
                <c:pt idx="8">
                  <c:v>Kolkata</c:v>
                </c:pt>
                <c:pt idx="9">
                  <c:v>Lucknow</c:v>
                </c:pt>
                <c:pt idx="10">
                  <c:v>Mumbai</c:v>
                </c:pt>
                <c:pt idx="11">
                  <c:v>Pune</c:v>
                </c:pt>
              </c:strCache>
            </c:strRef>
          </c:cat>
          <c:val>
            <c:numRef>
              <c:f>'Piviot data'!$I$4:$I$16</c:f>
              <c:numCache>
                <c:formatCode>General</c:formatCode>
                <c:ptCount val="12"/>
                <c:pt idx="0">
                  <c:v>17709251</c:v>
                </c:pt>
                <c:pt idx="1">
                  <c:v>7237088</c:v>
                </c:pt>
                <c:pt idx="2">
                  <c:v>14198297</c:v>
                </c:pt>
                <c:pt idx="3">
                  <c:v>7568609</c:v>
                </c:pt>
                <c:pt idx="4">
                  <c:v>4152253</c:v>
                </c:pt>
                <c:pt idx="5">
                  <c:v>13570252</c:v>
                </c:pt>
                <c:pt idx="6">
                  <c:v>11754789</c:v>
                </c:pt>
                <c:pt idx="7">
                  <c:v>8682310</c:v>
                </c:pt>
                <c:pt idx="8">
                  <c:v>16284325</c:v>
                </c:pt>
                <c:pt idx="9">
                  <c:v>19987494</c:v>
                </c:pt>
                <c:pt idx="10">
                  <c:v>14752394</c:v>
                </c:pt>
                <c:pt idx="11">
                  <c:v>7423482</c:v>
                </c:pt>
              </c:numCache>
            </c:numRef>
          </c:val>
          <c:extLst>
            <c:ext xmlns:c16="http://schemas.microsoft.com/office/drawing/2014/chart" uri="{C3380CC4-5D6E-409C-BE32-E72D297353CC}">
              <c16:uniqueId val="{00000000-1F4A-4678-A648-3BC78293878D}"/>
            </c:ext>
          </c:extLst>
        </c:ser>
        <c:dLbls>
          <c:showLegendKey val="0"/>
          <c:showVal val="1"/>
          <c:showCatName val="0"/>
          <c:showSerName val="0"/>
          <c:showPercent val="0"/>
          <c:showBubbleSize val="0"/>
        </c:dLbls>
        <c:gapWidth val="150"/>
        <c:axId val="1135892688"/>
        <c:axId val="1135894352"/>
      </c:barChart>
      <c:catAx>
        <c:axId val="113589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894352"/>
        <c:crosses val="autoZero"/>
        <c:auto val="1"/>
        <c:lblAlgn val="ctr"/>
        <c:lblOffset val="100"/>
        <c:noMultiLvlLbl val="0"/>
      </c:catAx>
      <c:valAx>
        <c:axId val="1135894352"/>
        <c:scaling>
          <c:orientation val="minMax"/>
        </c:scaling>
        <c:delete val="1"/>
        <c:axPos val="l"/>
        <c:numFmt formatCode="General" sourceLinked="1"/>
        <c:majorTickMark val="none"/>
        <c:minorTickMark val="none"/>
        <c:tickLblPos val="nextTo"/>
        <c:crossAx val="113589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533400</xdr:colOff>
      <xdr:row>0</xdr:row>
      <xdr:rowOff>60960</xdr:rowOff>
    </xdr:from>
    <xdr:to>
      <xdr:col>15</xdr:col>
      <xdr:colOff>76200</xdr:colOff>
      <xdr:row>2</xdr:row>
      <xdr:rowOff>160020</xdr:rowOff>
    </xdr:to>
    <xdr:sp macro="" textlink="">
      <xdr:nvSpPr>
        <xdr:cNvPr id="2" name="TextBox 1">
          <a:extLst>
            <a:ext uri="{FF2B5EF4-FFF2-40B4-BE49-F238E27FC236}">
              <a16:creationId xmlns:a16="http://schemas.microsoft.com/office/drawing/2014/main" id="{180AC3D3-948F-4D66-BB1A-356F5609732C}"/>
            </a:ext>
          </a:extLst>
        </xdr:cNvPr>
        <xdr:cNvSpPr txBox="1"/>
      </xdr:nvSpPr>
      <xdr:spPr>
        <a:xfrm>
          <a:off x="4191000" y="60960"/>
          <a:ext cx="50292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Electronics Sales Report 2025</a:t>
          </a:r>
        </a:p>
      </xdr:txBody>
    </xdr:sp>
    <xdr:clientData/>
  </xdr:twoCellAnchor>
  <xdr:twoCellAnchor>
    <xdr:from>
      <xdr:col>15</xdr:col>
      <xdr:colOff>99060</xdr:colOff>
      <xdr:row>2</xdr:row>
      <xdr:rowOff>175260</xdr:rowOff>
    </xdr:from>
    <xdr:to>
      <xdr:col>22</xdr:col>
      <xdr:colOff>312420</xdr:colOff>
      <xdr:row>17</xdr:row>
      <xdr:rowOff>152400</xdr:rowOff>
    </xdr:to>
    <xdr:graphicFrame macro="">
      <xdr:nvGraphicFramePr>
        <xdr:cNvPr id="3" name="Sales REP">
          <a:extLst>
            <a:ext uri="{FF2B5EF4-FFF2-40B4-BE49-F238E27FC236}">
              <a16:creationId xmlns:a16="http://schemas.microsoft.com/office/drawing/2014/main" id="{AAA20594-B5DE-4591-8982-49C0B7BE7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18</xdr:row>
      <xdr:rowOff>22860</xdr:rowOff>
    </xdr:from>
    <xdr:to>
      <xdr:col>15</xdr:col>
      <xdr:colOff>83820</xdr:colOff>
      <xdr:row>33</xdr:row>
      <xdr:rowOff>22860</xdr:rowOff>
    </xdr:to>
    <xdr:graphicFrame macro="">
      <xdr:nvGraphicFramePr>
        <xdr:cNvPr id="4" name="Chart 3">
          <a:extLst>
            <a:ext uri="{FF2B5EF4-FFF2-40B4-BE49-F238E27FC236}">
              <a16:creationId xmlns:a16="http://schemas.microsoft.com/office/drawing/2014/main" id="{CC59A844-CCD6-4249-AEBC-965A52338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6</xdr:col>
      <xdr:colOff>518160</xdr:colOff>
      <xdr:row>33</xdr:row>
      <xdr:rowOff>0</xdr:rowOff>
    </xdr:to>
    <xdr:graphicFrame macro="">
      <xdr:nvGraphicFramePr>
        <xdr:cNvPr id="5" name="Chart 4">
          <a:extLst>
            <a:ext uri="{FF2B5EF4-FFF2-40B4-BE49-F238E27FC236}">
              <a16:creationId xmlns:a16="http://schemas.microsoft.com/office/drawing/2014/main" id="{5F846322-F941-4B71-B59F-67470FCAF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2</xdr:row>
      <xdr:rowOff>175260</xdr:rowOff>
    </xdr:from>
    <xdr:to>
      <xdr:col>6</xdr:col>
      <xdr:colOff>510540</xdr:colOff>
      <xdr:row>17</xdr:row>
      <xdr:rowOff>144780</xdr:rowOff>
    </xdr:to>
    <xdr:graphicFrame macro="">
      <xdr:nvGraphicFramePr>
        <xdr:cNvPr id="6" name="Chart 5">
          <a:extLst>
            <a:ext uri="{FF2B5EF4-FFF2-40B4-BE49-F238E27FC236}">
              <a16:creationId xmlns:a16="http://schemas.microsoft.com/office/drawing/2014/main" id="{1B28F714-484B-47E1-B3B7-3918B2E39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541020</xdr:colOff>
      <xdr:row>2</xdr:row>
      <xdr:rowOff>175260</xdr:rowOff>
    </xdr:from>
    <xdr:to>
      <xdr:col>15</xdr:col>
      <xdr:colOff>76200</xdr:colOff>
      <xdr:row>17</xdr:row>
      <xdr:rowOff>175260</xdr:rowOff>
    </xdr:to>
    <xdr:graphicFrame macro="">
      <xdr:nvGraphicFramePr>
        <xdr:cNvPr id="7" name="Chart 6">
          <a:extLst>
            <a:ext uri="{FF2B5EF4-FFF2-40B4-BE49-F238E27FC236}">
              <a16:creationId xmlns:a16="http://schemas.microsoft.com/office/drawing/2014/main" id="{4323E7CF-F4E7-4BFE-A8EE-A1FA19FEA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xdr:colOff>
      <xdr:row>33</xdr:row>
      <xdr:rowOff>22861</xdr:rowOff>
    </xdr:from>
    <xdr:to>
      <xdr:col>6</xdr:col>
      <xdr:colOff>541020</xdr:colOff>
      <xdr:row>36</xdr:row>
      <xdr:rowOff>144780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3FEE3F4-D02D-43F1-AFD6-6C3F74CB02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6057901"/>
              <a:ext cx="4191000"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18</xdr:row>
      <xdr:rowOff>7620</xdr:rowOff>
    </xdr:from>
    <xdr:to>
      <xdr:col>19</xdr:col>
      <xdr:colOff>60960</xdr:colOff>
      <xdr:row>36</xdr:row>
      <xdr:rowOff>121920</xdr:rowOff>
    </xdr:to>
    <mc:AlternateContent xmlns:mc="http://schemas.openxmlformats.org/markup-compatibility/2006" xmlns:a14="http://schemas.microsoft.com/office/drawing/2010/main">
      <mc:Choice Requires="a14">
        <xdr:graphicFrame macro="">
          <xdr:nvGraphicFramePr>
            <xdr:cNvPr id="9" name="Sales Rep">
              <a:extLst>
                <a:ext uri="{FF2B5EF4-FFF2-40B4-BE49-F238E27FC236}">
                  <a16:creationId xmlns:a16="http://schemas.microsoft.com/office/drawing/2014/main" id="{5B6CB42D-E1D7-40B0-8E5D-A49DDDF2BBBF}"/>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9265920" y="3299460"/>
              <a:ext cx="2377440" cy="3406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18</xdr:row>
      <xdr:rowOff>15240</xdr:rowOff>
    </xdr:from>
    <xdr:to>
      <xdr:col>22</xdr:col>
      <xdr:colOff>342900</xdr:colOff>
      <xdr:row>28</xdr:row>
      <xdr:rowOff>137160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327ADD51-9A3B-4EF9-91AE-64E9633CFF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04320" y="3307080"/>
              <a:ext cx="204978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33</xdr:row>
      <xdr:rowOff>45720</xdr:rowOff>
    </xdr:from>
    <xdr:to>
      <xdr:col>15</xdr:col>
      <xdr:colOff>76200</xdr:colOff>
      <xdr:row>36</xdr:row>
      <xdr:rowOff>160020</xdr:rowOff>
    </xdr:to>
    <mc:AlternateContent xmlns:mc="http://schemas.openxmlformats.org/markup-compatibility/2006" xmlns:a14="http://schemas.microsoft.com/office/drawing/2010/main">
      <mc:Choice Requires="a14">
        <xdr:graphicFrame macro="">
          <xdr:nvGraphicFramePr>
            <xdr:cNvPr id="11" name="Month (Month) 1">
              <a:extLst>
                <a:ext uri="{FF2B5EF4-FFF2-40B4-BE49-F238E27FC236}">
                  <a16:creationId xmlns:a16="http://schemas.microsoft.com/office/drawing/2014/main" id="{816ACED8-2C38-49F8-8C66-9BCC848F0969}"/>
                </a:ext>
              </a:extLst>
            </xdr:cNvPr>
            <xdr:cNvGraphicFramePr/>
          </xdr:nvGraphicFramePr>
          <xdr:xfrm>
            <a:off x="0" y="0"/>
            <a:ext cx="0" cy="0"/>
          </xdr:xfrm>
          <a:graphic>
            <a:graphicData uri="http://schemas.microsoft.com/office/drawing/2010/slicer">
              <sle:slicer xmlns:sle="http://schemas.microsoft.com/office/drawing/2010/slicer" name="Month (Month) 1"/>
            </a:graphicData>
          </a:graphic>
        </xdr:graphicFrame>
      </mc:Choice>
      <mc:Fallback xmlns="">
        <xdr:sp macro="" textlink="">
          <xdr:nvSpPr>
            <xdr:cNvPr id="0" name=""/>
            <xdr:cNvSpPr>
              <a:spLocks noTextEdit="1"/>
            </xdr:cNvSpPr>
          </xdr:nvSpPr>
          <xdr:spPr>
            <a:xfrm>
              <a:off x="4213860" y="6080760"/>
              <a:ext cx="500634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114300</xdr:colOff>
      <xdr:row>29</xdr:row>
      <xdr:rowOff>60961</xdr:rowOff>
    </xdr:from>
    <xdr:to>
      <xdr:col>22</xdr:col>
      <xdr:colOff>365760</xdr:colOff>
      <xdr:row>36</xdr:row>
      <xdr:rowOff>121920</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CBCFE16B-742F-44C6-9F90-290DC539C44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696700" y="5364481"/>
              <a:ext cx="2080260" cy="1341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2304861111" backgroundQuery="1" createdVersion="7" refreshedVersion="8" minRefreshableVersion="3" recordCount="0" supportSubquery="1" supportAdvancedDrill="1" xr:uid="{C6EBC3C7-37B0-4859-9AC4-590901B55C2C}">
  <cacheSource type="external" connectionId="1"/>
  <cacheFields count="2">
    <cacheField name="[Measures].[Sum of Revenue]" caption="Sum of Revenue" numFmtId="0" hierarchy="13" level="32767"/>
    <cacheField name="[Range].[City].[City]" caption="City" numFmtId="0" hierarchy="3" level="1">
      <sharedItems count="12">
        <s v="Ahmedabad"/>
        <s v="Bangalore"/>
        <s v="Bhubaneswar"/>
        <s v="Chandigarh"/>
        <s v="Chennai"/>
        <s v="Delhi"/>
        <s v="Hyderabad"/>
        <s v="Kolkata"/>
        <s v="Lucknow"/>
        <s v="Mumbai"/>
        <s v="Patna"/>
        <s v="Pune"/>
      </sharedItems>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Sales Rep]" caption="Sales Rep" attribute="1" defaultMemberUniqueName="[Range].[Sales Rep].[All]" allUniqueName="[Range].[Sales Rep].[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2305439812" backgroundQuery="1" createdVersion="7" refreshedVersion="8" minRefreshableVersion="3" recordCount="0" supportSubquery="1" supportAdvancedDrill="1" xr:uid="{409E715A-EA26-4552-AB53-9AEF657E9E2A}">
  <cacheSource type="external" connectionId="1"/>
  <cacheFields count="3">
    <cacheField name="[Range].[Region].[Region]" caption="Region" numFmtId="0" hierarchy="2" level="1">
      <sharedItems count="4">
        <s v="East"/>
        <s v="North"/>
        <s v="South"/>
        <s v="West"/>
      </sharedItems>
    </cacheField>
    <cacheField name="[Measures].[Sum of Revenue]" caption="Sum of Revenue" numFmtId="0" hierarchy="13" level="32767"/>
    <cacheField name="[Range].[City].[City]" caption="City" numFmtId="0" hierarchy="3"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ales Rep]" caption="Sales Rep" attribute="1" defaultMemberUniqueName="[Range].[Sales Rep].[All]" allUniqueName="[Range].[Sales Rep].[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2306018519" backgroundQuery="1" createdVersion="7" refreshedVersion="8" minRefreshableVersion="3" recordCount="0" supportSubquery="1" supportAdvancedDrill="1" xr:uid="{A4059AED-B212-4C34-B12D-3D4C6C5C4B2E}">
  <cacheSource type="external" connectionId="1"/>
  <cacheFields count="3">
    <cacheField name="[Measures].[Sum of Revenue]" caption="Sum of Revenue" numFmtId="0" hierarchy="13" level="32767"/>
    <cacheField name="[Range].[Product].[Product]" caption="Product" numFmtId="0" hierarchy="5" level="1">
      <sharedItems count="5">
        <s v="Headphones"/>
        <s v="Laptop"/>
        <s v="Smartphone"/>
        <s v="Smartwatch"/>
        <s v="Tablet"/>
      </sharedItems>
    </cacheField>
    <cacheField name="[Range].[City].[City]" caption="City" numFmtId="0" hierarchy="3"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ales Rep]" caption="Sales Rep" attribute="1" defaultMemberUniqueName="[Range].[Sales Rep].[All]" allUniqueName="[Range].[Sales Rep].[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2306481481" backgroundQuery="1" createdVersion="7" refreshedVersion="8" minRefreshableVersion="3" recordCount="0" supportSubquery="1" supportAdvancedDrill="1" xr:uid="{F4E60CD8-8DE5-49E2-BA44-CF0A768C1C0E}">
  <cacheSource type="external" connectionId="1"/>
  <cacheFields count="4">
    <cacheField name="[Measures].[Sum of Revenue]" caption="Sum of Revenue" numFmtId="0" hierarchy="13" level="32767"/>
    <cacheField name="[Range].[Month].[Month]" caption="Month" numFmtId="0" hierarchy="1" level="1">
      <sharedItems containsSemiMixedTypes="0" containsNonDate="0" containsDate="1" containsString="0" minDate="2025-01-04T00:00:00" maxDate="2025-02-01T00:00:00" count="23">
        <d v="2025-01-04T00:00:00"/>
        <d v="2025-01-05T00:00:00"/>
        <d v="2025-01-06T00:00:00"/>
        <d v="2025-01-09T00:00:00"/>
        <d v="2025-01-11T00:00:00"/>
        <d v="2025-01-12T00:00:00"/>
        <d v="2025-01-13T00:00:00"/>
        <d v="2025-01-14T00:00:00"/>
        <d v="2025-01-16T00:00:00"/>
        <d v="2025-01-17T00:00:00"/>
        <d v="2025-01-18T00:00:00"/>
        <d v="2025-01-19T00:00:00"/>
        <d v="2025-01-20T00:00:00"/>
        <d v="2025-01-21T00:00:00"/>
        <d v="2025-01-22T00:00:00"/>
        <d v="2025-01-23T00:00:00"/>
        <d v="2025-01-24T00:00:00"/>
        <d v="2025-01-26T00:00:00"/>
        <d v="2025-01-27T00:00:00"/>
        <d v="2025-01-28T00:00:00"/>
        <d v="2025-01-29T00:00:00"/>
        <d v="2025-01-30T00:00:00"/>
        <d v="2025-01-31T00:00:00"/>
      </sharedItems>
    </cacheField>
    <cacheField name="[Range].[Month (Month)].[Month (Month)]" caption="Month (Month)" numFmtId="0" hierarchy="9" level="1">
      <sharedItems count="6">
        <s v="Jan"/>
        <s v="Feb"/>
        <s v="Mar"/>
        <s v="Apr"/>
        <s v="May"/>
        <s v="Jun"/>
      </sharedItems>
    </cacheField>
    <cacheField name="[Range].[City].[City]" caption="City" numFmtId="0" hierarchy="3"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2" memberValueDatatype="7"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Sales Rep]" caption="Sales Rep" attribute="1" defaultMemberUniqueName="[Range].[Sales Rep].[All]" allUniqueName="[Range].[Sales Rep].[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fieldsUsage count="2">
        <fieldUsage x="-1"/>
        <fieldUsage x="2"/>
      </fieldsUsage>
    </cacheHierarchy>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2307175928" backgroundQuery="1" createdVersion="7" refreshedVersion="8" minRefreshableVersion="3" recordCount="0" supportSubquery="1" supportAdvancedDrill="1" xr:uid="{511315DD-F88D-4C60-BB69-3D6AEB3D8D42}">
  <cacheSource type="external" connectionId="1"/>
  <cacheFields count="3">
    <cacheField name="[Measures].[Sum of Revenue]" caption="Sum of Revenue" numFmtId="0" hierarchy="13" level="32767"/>
    <cacheField name="[Range].[Sales Rep].[Sales Rep]" caption="Sales Rep" numFmtId="0" hierarchy="4" level="1">
      <sharedItems count="22">
        <s v="Amaan Shaikh"/>
        <s v="Amit Verma"/>
        <s v="Anita Yadav"/>
        <s v="Aryan Varma"/>
        <s v="Jeeshan Shaikh"/>
        <s v="John Nadar"/>
        <s v="Kanchan Pawar"/>
        <s v="Mohit Shaikh"/>
        <s v="Monu Gupta"/>
        <s v="Neha Gupta"/>
        <s v="Neha Yadav"/>
        <s v="Nidhi Rathod"/>
        <s v="Priya Menon"/>
        <s v="Priya Roy"/>
        <s v="Rashid Shaikh"/>
        <s v="Ravi Yadav"/>
        <s v="Rohan Sharma"/>
        <s v="Sahil Kamble"/>
        <s v="Saurabh Kumar"/>
        <s v="Sneha Pawar"/>
        <s v="Vishal Gupta"/>
        <s v="Vrushali Mishra"/>
      </sharedItems>
    </cacheField>
    <cacheField name="[Range].[City].[City]" caption="City" numFmtId="0" hierarchy="3"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ales Rep]" caption="Sales Rep" attribute="1" defaultMemberUniqueName="[Range].[Sales Rep].[All]" allUniqueName="[Range].[Sales Rep].[All]" dimensionUniqueName="[Range]" displayFolder="" count="2" memberValueDatatype="130" unbalanced="0">
      <fieldsUsage count="2">
        <fieldUsage x="-1"/>
        <fieldUsage x="1"/>
      </fieldsUsage>
    </cacheHierarchy>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eshan shaikh" refreshedDate="45923.501511574075" backgroundQuery="1" createdVersion="3" refreshedVersion="8" minRefreshableVersion="3" recordCount="0" supportSubquery="1" supportAdvancedDrill="1" xr:uid="{A95F37DB-2185-4666-9E43-8BBC547A23BD}">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Date]" caption="Date" attribute="1" time="1" defaultMemberUniqueName="[Range].[Date].[All]" allUniqueName="[Range].[Date].[All]" dimensionUniqueName="[Range]" displayFolder="" count="0" memberValueDatatype="7" unbalanced="0"/>
    <cacheHierarchy uniqueName="[Range].[Month]" caption="Month" attribute="1" time="1" defaultMemberUniqueName="[Range].[Month].[All]" allUniqueName="[Range].[Month].[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ales Rep]" caption="Sales Rep" attribute="1" defaultMemberUniqueName="[Range].[Sales Rep].[All]" allUniqueName="[Range].[Sales Rep].[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Range].[Month (Month)]" caption="Month (Month)" attribute="1" defaultMemberUniqueName="[Range].[Month (Month)].[All]" allUniqueName="[Range].[Month (Month)].[All]" dimensionUniqueName="[Range]" displayFolder="" count="2" memberValueDatatype="130" unbalanced="0"/>
    <cacheHierarchy uniqueName="[Range].[Month (Month Index)]" caption="Month (Month Index)" attribute="1" defaultMemberUniqueName="[Range].[Month (Month Index)].[All]" allUniqueName="[Range].[Month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425238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DCCF2-DFF6-49B6-90E5-895D72AD5EDE}" name="PivotTable4" cacheId="201"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4">
  <location ref="O3:P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14">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2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E7874-2CC3-4D36-BE14-FF0E28EAB295}" name="PivotTable3" cacheId="195"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8">
  <location ref="H3:I16" firstHeaderRow="1" firstDataRow="1" firstDataCol="1"/>
  <pivotFields count="2">
    <pivotField dataField="1" subtotalTop="0" showAll="0" defaultSubtotal="0"/>
    <pivotField axis="axisRow" allDrilled="1" subtotalTop="0" showAll="0" defaultSubtotal="0" defaultAttributeDrillState="1">
      <items count="12">
        <item x="10"/>
        <item x="0"/>
        <item x="1"/>
        <item x="2"/>
        <item x="3"/>
        <item x="4"/>
        <item x="5"/>
        <item x="6"/>
        <item x="7"/>
        <item x="8"/>
        <item x="9"/>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2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04EBE-651D-4492-AA16-6AD97C28A5B6}" name="PivotTable1" cacheId="198"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4">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2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20E2EF-F243-4DB2-868E-87AE48133BF8}" name="PivotTable5" cacheId="20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3">
  <location ref="L3:M10" firstHeaderRow="1" firstDataRow="1" firstDataCol="1"/>
  <pivotFields count="4">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Row" allDrilled="1" subtotalTop="0" showAll="0" dataSourceSort="1" defaultSubtotal="0">
      <items count="6">
        <item x="0" e="0"/>
        <item x="1" e="0"/>
        <item x="2" e="0"/>
        <item x="3" e="0"/>
        <item x="4" e="0"/>
        <item x="5" e="0"/>
      </items>
    </pivotField>
    <pivotField allDrilled="1" subtotalTop="0" showAll="0" dataSourceSort="1" defaultSubtotal="0" defaultAttributeDrillState="1"/>
  </pivotFields>
  <rowFields count="2">
    <field x="2"/>
    <field x="1"/>
  </rowFields>
  <rowItems count="7">
    <i>
      <x/>
    </i>
    <i>
      <x v="1"/>
    </i>
    <i>
      <x v="2"/>
    </i>
    <i>
      <x v="3"/>
    </i>
    <i>
      <x v="4"/>
    </i>
    <i>
      <x v="5"/>
    </i>
    <i t="grand">
      <x/>
    </i>
  </rowItems>
  <colItems count="1">
    <i/>
  </colItems>
  <dataFields count="1">
    <dataField name="Sum of Revenue" fld="0" baseField="0" baseItem="0"/>
  </dataField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3"/>
          </reference>
        </references>
      </pivotArea>
    </chartFormat>
    <chartFormat chart="3" format="7">
      <pivotArea type="data" outline="0" fieldPosition="0">
        <references count="2">
          <reference field="4294967294" count="1" selected="0">
            <x v="0"/>
          </reference>
          <reference field="2" count="1" selected="0">
            <x v="4"/>
          </reference>
        </references>
      </pivotArea>
    </chartFormat>
    <chartFormat chart="3" format="8">
      <pivotArea type="data" outline="0" fieldPosition="0">
        <references count="2">
          <reference field="4294967294" count="1" selected="0">
            <x v="0"/>
          </reference>
          <reference field="2" count="1" selected="0">
            <x v="5"/>
          </reference>
        </references>
      </pivotArea>
    </chartFormat>
  </chartFormats>
  <pivotHierarchies count="14">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2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E15AA-D93F-4D69-A0AA-30AF846698EF}" name="PivotTable6" cacheId="20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4">
  <location ref="D3:E26" firstHeaderRow="1" firstDataRow="1" firstDataCol="1"/>
  <pivotFields count="3">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H$22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A28386-3B58-4D3A-A635-5B1397338E8B}" sourceName="[Range].[Region]">
  <pivotTables>
    <pivotTable tabId="2" name="PivotTable1"/>
    <pivotTable tabId="2" name="PivotTable3"/>
    <pivotTable tabId="2" name="PivotTable4"/>
    <pivotTable tabId="2" name="PivotTable5"/>
    <pivotTable tabId="2" name="PivotTable6"/>
  </pivotTables>
  <data>
    <olap pivotCacheId="642523885">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F3B53BA-CF91-4F51-80F5-2768BDA6CAAF}" sourceName="[Range].[Sales Rep]">
  <pivotTables>
    <pivotTable tabId="2" name="PivotTable6"/>
    <pivotTable tabId="2" name="PivotTable1"/>
    <pivotTable tabId="2" name="PivotTable3"/>
    <pivotTable tabId="2" name="PivotTable4"/>
    <pivotTable tabId="2" name="PivotTable5"/>
  </pivotTables>
  <data>
    <olap pivotCacheId="642523885">
      <levels count="2">
        <level uniqueName="[Range].[Sales Rep].[(All)]" sourceCaption="(All)" count="0"/>
        <level uniqueName="[Range].[Sales Rep].[Sales Rep]" sourceCaption="Sales Rep" count="22">
          <ranges>
            <range startItem="0">
              <i n="[Range].[Sales Rep].&amp;[Amaan Shaikh]" c="Amaan Shaikh"/>
              <i n="[Range].[Sales Rep].&amp;[Amit Verma]" c="Amit Verma"/>
              <i n="[Range].[Sales Rep].&amp;[Anita Yadav]" c="Anita Yadav"/>
              <i n="[Range].[Sales Rep].&amp;[Aryan Varma]" c="Aryan Varma"/>
              <i n="[Range].[Sales Rep].&amp;[Jeeshan Shaikh]" c="Jeeshan Shaikh"/>
              <i n="[Range].[Sales Rep].&amp;[John Nadar]" c="John Nadar"/>
              <i n="[Range].[Sales Rep].&amp;[Kanchan Pawar]" c="Kanchan Pawar"/>
              <i n="[Range].[Sales Rep].&amp;[Mohit Shaikh]" c="Mohit Shaikh"/>
              <i n="[Range].[Sales Rep].&amp;[Monu Gupta]" c="Monu Gupta"/>
              <i n="[Range].[Sales Rep].&amp;[Neha Gupta]" c="Neha Gupta"/>
              <i n="[Range].[Sales Rep].&amp;[Neha Yadav]" c="Neha Yadav"/>
              <i n="[Range].[Sales Rep].&amp;[Nidhi Rathod]" c="Nidhi Rathod"/>
              <i n="[Range].[Sales Rep].&amp;[Priya Menon]" c="Priya Menon"/>
              <i n="[Range].[Sales Rep].&amp;[Priya Roy]" c="Priya Roy"/>
              <i n="[Range].[Sales Rep].&amp;[Rashid Shaikh]" c="Rashid Shaikh"/>
              <i n="[Range].[Sales Rep].&amp;[Ravi Yadav]" c="Ravi Yadav"/>
              <i n="[Range].[Sales Rep].&amp;[Rohan Sharma]" c="Rohan Sharma"/>
              <i n="[Range].[Sales Rep].&amp;[Sahil Kamble]" c="Sahil Kamble"/>
              <i n="[Range].[Sales Rep].&amp;[Saurabh Kumar]" c="Saurabh Kumar"/>
              <i n="[Range].[Sales Rep].&amp;[Sneha Pawar]" c="Sneha Pawar"/>
              <i n="[Range].[Sales Rep].&amp;[Vishal Gupta]" c="Vishal Gupta"/>
              <i n="[Range].[Sales Rep].&amp;[Vrushali Mishra]" c="Vrushali Mishra"/>
            </range>
          </ranges>
        </level>
      </levels>
      <selections count="1">
        <selection n="[Range].[Sales Re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86D5CD-B86C-4A9F-96CB-845D30E1E437}" sourceName="[Range].[City]">
  <pivotTables>
    <pivotTable tabId="2" name="PivotTable3"/>
    <pivotTable tabId="2" name="PivotTable1"/>
    <pivotTable tabId="2" name="PivotTable4"/>
    <pivotTable tabId="2" name="PivotTable5"/>
    <pivotTable tabId="2" name="PivotTable6"/>
  </pivotTables>
  <data>
    <olap pivotCacheId="642523885">
      <levels count="2">
        <level uniqueName="[Range].[City].[(All)]" sourceCaption="(All)" count="0"/>
        <level uniqueName="[Range].[City].[City]" sourceCaption="City" count="12">
          <ranges>
            <range startItem="0">
              <i n="[Range].[City].&amp;[Ahmedabad]" c="Ahmedabad"/>
              <i n="[Range].[City].&amp;[Bangalore]" c="Bangalore"/>
              <i n="[Range].[City].&amp;[Bhubaneswar]" c="Bhubaneswar"/>
              <i n="[Range].[City].&amp;[Chandigarh]" c="Chandigarh"/>
              <i n="[Range].[City].&amp;[Chennai]" c="Chennai"/>
              <i n="[Range].[City].&amp;[Delhi]" c="Delhi"/>
              <i n="[Range].[City].&amp;[Hyderabad]" c="Hyderabad"/>
              <i n="[Range].[City].&amp;[Kolkata]" c="Kolkata"/>
              <i n="[Range].[City].&amp;[Lucknow]" c="Lucknow"/>
              <i n="[Range].[City].&amp;[Mumbai]" c="Mumbai"/>
              <i n="[Range].[City].&amp;[Patna]" c="Patna"/>
              <i n="[Range].[City].&amp;[Pune]" c="Pune"/>
            </range>
          </ranges>
        </level>
      </levels>
      <selections count="1">
        <selection n="[Range].[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A171DA55-17CD-409E-93FF-3BA9A13F3788}" sourceName="[Range].[Month (Month)]">
  <pivotTables>
    <pivotTable tabId="2" name="PivotTable5"/>
    <pivotTable tabId="2" name="PivotTable1"/>
    <pivotTable tabId="2" name="PivotTable3"/>
    <pivotTable tabId="2" name="PivotTable4"/>
    <pivotTable tabId="2" name="PivotTable6"/>
  </pivotTables>
  <data>
    <olap pivotCacheId="642523885">
      <levels count="2">
        <level uniqueName="[Range].[Month (Month)].[(All)]" sourceCaption="(All)" count="0"/>
        <level uniqueName="[Range].[Month (Month)].[Month (Month)]" sourceCaption="Month (Month)" count="6">
          <ranges>
            <range startItem="0">
              <i n="[Range].[Month (Month)].&amp;[Jan]" c="Jan"/>
              <i n="[Range].[Month (Month)].&amp;[Feb]" c="Feb"/>
              <i n="[Range].[Month (Month)].&amp;[Mar]" c="Mar"/>
              <i n="[Range].[Month (Month)].&amp;[Apr]" c="Apr"/>
              <i n="[Range].[Month (Month)].&amp;[May]" c="May"/>
              <i n="[Range].[Month (Month)].&amp;[Jun]" c="Jun"/>
            </range>
          </ranges>
        </level>
      </levels>
      <selections count="1">
        <selection n="[Range].[Month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0BD915-CA20-41F4-80FA-9594C1B44C92}" sourceName="[Range].[Product]">
  <pivotTables>
    <pivotTable tabId="2" name="PivotTable4"/>
    <pivotTable tabId="2" name="PivotTable1"/>
    <pivotTable tabId="2" name="PivotTable3"/>
    <pivotTable tabId="2" name="PivotTable5"/>
    <pivotTable tabId="2" name="PivotTable6"/>
  </pivotTables>
  <data>
    <olap pivotCacheId="642523885">
      <levels count="2">
        <level uniqueName="[Range].[Product].[(All)]" sourceCaption="(All)" count="0"/>
        <level uniqueName="[Range].[Product].[Product]" sourceCaption="Product" count="5">
          <ranges>
            <range startItem="0">
              <i n="[Range].[Product].&amp;[Headphones]" c="Headphones"/>
              <i n="[Range].[Product].&amp;[Laptop]" c="Laptop"/>
              <i n="[Range].[Product].&amp;[Smartphone]" c="Smartphone"/>
              <i n="[Range].[Product].&amp;[Smartwatch]" c="Smartwatch"/>
              <i n="[Range].[Product].&amp;[Tablet]" c="Tablet"/>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E716C0-090C-4800-B29C-2E120B4FDEFC}" cache="Slicer_Region" caption="Region" columnCount="4" level="1" rowHeight="234950"/>
  <slicer name="Sales Rep" xr10:uid="{B5D6BA1A-BC91-43B2-975E-4B90680E0D8E}" cache="Slicer_Sales_Rep" caption="Sales Rep" columnCount="2" level="1" rowHeight="234950"/>
  <slicer name="City" xr10:uid="{91C7FBE7-23AA-4610-AB72-A45521012257}" cache="Slicer_City" caption="City" columnCount="2" level="1" rowHeight="234950"/>
  <slicer name="Month (Month) 1" xr10:uid="{C754295C-2143-4486-9DF9-1DDBEDA240B1}" cache="Slicer_Month__Month" caption="Month" columnCount="6" level="1" rowHeight="234950"/>
  <slicer name="Product 1" xr10:uid="{7BBD3501-59B6-41B0-BEF5-18511CF3FCD4}" cache="Slicer_Product" caption="Product" columnCount="2" level="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CA35-AEE3-41C3-A31F-F9D9FCA56DBC}">
  <dimension ref="A1"/>
  <sheetViews>
    <sheetView showGridLines="0" tabSelected="1" workbookViewId="0">
      <selection activeCell="Q2" sqref="Q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06E1-ED76-4716-83EC-863C0D13EC46}">
  <dimension ref="A3:P26"/>
  <sheetViews>
    <sheetView workbookViewId="0">
      <selection activeCell="H9" sqref="H9"/>
    </sheetView>
  </sheetViews>
  <sheetFormatPr defaultRowHeight="14.4" x14ac:dyDescent="0.3"/>
  <cols>
    <col min="1" max="1" width="12.5546875" bestFit="1" customWidth="1"/>
    <col min="2" max="2" width="14.88671875" bestFit="1" customWidth="1"/>
    <col min="3" max="3" width="15.5546875" bestFit="1" customWidth="1"/>
    <col min="4" max="4" width="13.5546875" bestFit="1" customWidth="1"/>
    <col min="5" max="5" width="14.88671875" bestFit="1" customWidth="1"/>
    <col min="8" max="8" width="12.5546875" bestFit="1" customWidth="1"/>
    <col min="9" max="9" width="14.88671875" bestFit="1" customWidth="1"/>
    <col min="12" max="12" width="12.5546875" bestFit="1" customWidth="1"/>
    <col min="13" max="14" width="14.88671875" bestFit="1" customWidth="1"/>
    <col min="15" max="15" width="12.5546875" bestFit="1" customWidth="1"/>
    <col min="16" max="16" width="14.88671875" bestFit="1" customWidth="1"/>
  </cols>
  <sheetData>
    <row r="3" spans="1:16" x14ac:dyDescent="0.3">
      <c r="A3" s="1" t="s">
        <v>35</v>
      </c>
      <c r="B3" t="s">
        <v>36</v>
      </c>
      <c r="D3" s="1" t="s">
        <v>35</v>
      </c>
      <c r="E3" t="s">
        <v>36</v>
      </c>
      <c r="H3" s="1" t="s">
        <v>35</v>
      </c>
      <c r="I3" t="s">
        <v>36</v>
      </c>
      <c r="L3" s="1" t="s">
        <v>35</v>
      </c>
      <c r="M3" t="s">
        <v>36</v>
      </c>
      <c r="O3" s="1" t="s">
        <v>35</v>
      </c>
      <c r="P3" t="s">
        <v>36</v>
      </c>
    </row>
    <row r="4" spans="1:16" x14ac:dyDescent="0.3">
      <c r="A4" s="2" t="s">
        <v>11</v>
      </c>
      <c r="B4" s="10">
        <v>41562185</v>
      </c>
      <c r="D4" s="2" t="s">
        <v>52</v>
      </c>
      <c r="E4" s="10">
        <v>8770810</v>
      </c>
      <c r="H4" s="2" t="s">
        <v>22</v>
      </c>
      <c r="I4" s="10">
        <v>17709251</v>
      </c>
      <c r="L4" s="2" t="s">
        <v>40</v>
      </c>
      <c r="M4" s="10">
        <v>22447246</v>
      </c>
      <c r="O4" s="2" t="s">
        <v>31</v>
      </c>
      <c r="P4" s="10">
        <v>3664742</v>
      </c>
    </row>
    <row r="5" spans="1:16" x14ac:dyDescent="0.3">
      <c r="A5" s="2" t="s">
        <v>8</v>
      </c>
      <c r="B5" s="10">
        <v>35894536</v>
      </c>
      <c r="D5" s="2" t="s">
        <v>27</v>
      </c>
      <c r="E5" s="10">
        <v>6099360</v>
      </c>
      <c r="H5" s="2" t="s">
        <v>14</v>
      </c>
      <c r="I5" s="10">
        <v>7237088</v>
      </c>
      <c r="L5" s="2" t="s">
        <v>39</v>
      </c>
      <c r="M5" s="10">
        <v>19144331</v>
      </c>
      <c r="O5" s="2" t="s">
        <v>29</v>
      </c>
      <c r="P5" s="10">
        <v>77091676</v>
      </c>
    </row>
    <row r="6" spans="1:16" x14ac:dyDescent="0.3">
      <c r="A6" s="2" t="s">
        <v>10</v>
      </c>
      <c r="B6" s="10">
        <v>36450859</v>
      </c>
      <c r="D6" s="2" t="s">
        <v>49</v>
      </c>
      <c r="E6" s="10">
        <v>6983155</v>
      </c>
      <c r="H6" s="2" t="s">
        <v>18</v>
      </c>
      <c r="I6" s="10">
        <v>14198297</v>
      </c>
      <c r="L6" s="2" t="s">
        <v>42</v>
      </c>
      <c r="M6" s="10">
        <v>25302548</v>
      </c>
      <c r="O6" s="2" t="s">
        <v>32</v>
      </c>
      <c r="P6" s="10">
        <v>27849029</v>
      </c>
    </row>
    <row r="7" spans="1:16" x14ac:dyDescent="0.3">
      <c r="A7" s="2" t="s">
        <v>9</v>
      </c>
      <c r="B7" s="10">
        <v>29412964</v>
      </c>
      <c r="D7" s="2" t="s">
        <v>48</v>
      </c>
      <c r="E7" s="10">
        <v>4771634</v>
      </c>
      <c r="H7" s="2" t="s">
        <v>20</v>
      </c>
      <c r="I7" s="10">
        <v>7568609</v>
      </c>
      <c r="L7" s="2" t="s">
        <v>38</v>
      </c>
      <c r="M7" s="10">
        <v>30973168</v>
      </c>
      <c r="O7" s="2" t="s">
        <v>33</v>
      </c>
      <c r="P7" s="10">
        <v>13462932</v>
      </c>
    </row>
    <row r="8" spans="1:16" x14ac:dyDescent="0.3">
      <c r="A8" s="2" t="s">
        <v>34</v>
      </c>
      <c r="B8" s="10">
        <v>143320544</v>
      </c>
      <c r="D8" s="2" t="s">
        <v>26</v>
      </c>
      <c r="E8" s="10">
        <v>7237088</v>
      </c>
      <c r="H8" s="2" t="s">
        <v>21</v>
      </c>
      <c r="I8" s="10">
        <v>4152253</v>
      </c>
      <c r="L8" s="2" t="s">
        <v>43</v>
      </c>
      <c r="M8" s="10">
        <v>22027323</v>
      </c>
      <c r="O8" s="2" t="s">
        <v>30</v>
      </c>
      <c r="P8" s="10">
        <v>21252165</v>
      </c>
    </row>
    <row r="9" spans="1:16" x14ac:dyDescent="0.3">
      <c r="D9" s="2" t="s">
        <v>55</v>
      </c>
      <c r="E9" s="10">
        <v>9379161</v>
      </c>
      <c r="H9" s="2" t="s">
        <v>16</v>
      </c>
      <c r="I9" s="10">
        <v>13570252</v>
      </c>
      <c r="L9" s="2" t="s">
        <v>41</v>
      </c>
      <c r="M9" s="10">
        <v>23425928</v>
      </c>
      <c r="O9" s="2" t="s">
        <v>34</v>
      </c>
      <c r="P9" s="10">
        <v>143320544</v>
      </c>
    </row>
    <row r="10" spans="1:16" x14ac:dyDescent="0.3">
      <c r="D10" s="2" t="s">
        <v>60</v>
      </c>
      <c r="E10" s="10">
        <v>7423482</v>
      </c>
      <c r="H10" s="2" t="s">
        <v>12</v>
      </c>
      <c r="I10" s="10">
        <v>11754789</v>
      </c>
      <c r="L10" s="2" t="s">
        <v>34</v>
      </c>
      <c r="M10" s="10">
        <v>143320544</v>
      </c>
    </row>
    <row r="11" spans="1:16" x14ac:dyDescent="0.3">
      <c r="D11" s="2" t="s">
        <v>56</v>
      </c>
      <c r="E11" s="10">
        <v>3723258</v>
      </c>
      <c r="H11" s="2" t="s">
        <v>17</v>
      </c>
      <c r="I11" s="10">
        <v>8682310</v>
      </c>
    </row>
    <row r="12" spans="1:16" x14ac:dyDescent="0.3">
      <c r="D12" s="2" t="s">
        <v>46</v>
      </c>
      <c r="E12" s="10">
        <v>5955780</v>
      </c>
      <c r="H12" s="2" t="s">
        <v>19</v>
      </c>
      <c r="I12" s="10">
        <v>16284325</v>
      </c>
    </row>
    <row r="13" spans="1:16" x14ac:dyDescent="0.3">
      <c r="D13" s="2" t="s">
        <v>28</v>
      </c>
      <c r="E13" s="10">
        <v>3216393</v>
      </c>
      <c r="H13" s="2" t="s">
        <v>15</v>
      </c>
      <c r="I13" s="10">
        <v>19987494</v>
      </c>
    </row>
    <row r="14" spans="1:16" x14ac:dyDescent="0.3">
      <c r="D14" s="2" t="s">
        <v>50</v>
      </c>
      <c r="E14" s="10">
        <v>2524441</v>
      </c>
      <c r="H14" s="2" t="s">
        <v>13</v>
      </c>
      <c r="I14" s="10">
        <v>14752394</v>
      </c>
    </row>
    <row r="15" spans="1:16" x14ac:dyDescent="0.3">
      <c r="D15" s="2" t="s">
        <v>53</v>
      </c>
      <c r="E15" s="10">
        <v>7027693</v>
      </c>
      <c r="H15" s="2" t="s">
        <v>23</v>
      </c>
      <c r="I15" s="10">
        <v>7423482</v>
      </c>
    </row>
    <row r="16" spans="1:16" x14ac:dyDescent="0.3">
      <c r="D16" s="2" t="s">
        <v>25</v>
      </c>
      <c r="E16" s="10">
        <v>8233257</v>
      </c>
      <c r="H16" s="2" t="s">
        <v>34</v>
      </c>
      <c r="I16" s="10">
        <v>143320544</v>
      </c>
    </row>
    <row r="17" spans="4:5" x14ac:dyDescent="0.3">
      <c r="D17" s="2" t="s">
        <v>44</v>
      </c>
      <c r="E17" s="10">
        <v>6157869</v>
      </c>
    </row>
    <row r="18" spans="4:5" x14ac:dyDescent="0.3">
      <c r="D18" s="2" t="s">
        <v>51</v>
      </c>
      <c r="E18" s="10">
        <v>7513515</v>
      </c>
    </row>
    <row r="19" spans="4:5" x14ac:dyDescent="0.3">
      <c r="D19" s="2" t="s">
        <v>45</v>
      </c>
      <c r="E19" s="10">
        <v>4152253</v>
      </c>
    </row>
    <row r="20" spans="4:5" x14ac:dyDescent="0.3">
      <c r="D20" s="2" t="s">
        <v>24</v>
      </c>
      <c r="E20" s="10">
        <v>4352216</v>
      </c>
    </row>
    <row r="21" spans="4:5" x14ac:dyDescent="0.3">
      <c r="D21" s="2" t="s">
        <v>57</v>
      </c>
      <c r="E21" s="10">
        <v>11029136</v>
      </c>
    </row>
    <row r="22" spans="4:5" x14ac:dyDescent="0.3">
      <c r="D22" s="2" t="s">
        <v>58</v>
      </c>
      <c r="E22" s="10">
        <v>6181420</v>
      </c>
    </row>
    <row r="23" spans="4:5" x14ac:dyDescent="0.3">
      <c r="D23" s="2" t="s">
        <v>54</v>
      </c>
      <c r="E23" s="10">
        <v>3580640</v>
      </c>
    </row>
    <row r="24" spans="4:5" x14ac:dyDescent="0.3">
      <c r="D24" s="2" t="s">
        <v>47</v>
      </c>
      <c r="E24" s="10">
        <v>7480152</v>
      </c>
    </row>
    <row r="25" spans="4:5" x14ac:dyDescent="0.3">
      <c r="D25" s="2" t="s">
        <v>59</v>
      </c>
      <c r="E25" s="10">
        <v>11527831</v>
      </c>
    </row>
    <row r="26" spans="4:5" x14ac:dyDescent="0.3">
      <c r="D26" s="2" t="s">
        <v>34</v>
      </c>
      <c r="E26" s="10">
        <v>143320544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1"/>
  <sheetViews>
    <sheetView workbookViewId="0">
      <selection activeCell="I4" sqref="I4"/>
    </sheetView>
  </sheetViews>
  <sheetFormatPr defaultRowHeight="14.4" x14ac:dyDescent="0.3"/>
  <cols>
    <col min="1" max="1" width="10.33203125" style="6" bestFit="1" customWidth="1"/>
    <col min="2" max="2" width="10.33203125" style="6" customWidth="1"/>
    <col min="3" max="3" width="10.33203125" style="5" customWidth="1"/>
    <col min="4" max="4" width="12" style="5" bestFit="1" customWidth="1"/>
    <col min="5" max="5" width="13.5546875" style="5" bestFit="1" customWidth="1"/>
    <col min="6" max="6" width="12.109375" style="5" bestFit="1" customWidth="1"/>
    <col min="7" max="7" width="11.109375" style="5" bestFit="1" customWidth="1"/>
    <col min="8" max="8" width="9.44140625" style="5" bestFit="1" customWidth="1"/>
    <col min="9" max="9" width="13.44140625" style="9" bestFit="1" customWidth="1"/>
    <col min="10" max="10" width="8.33203125" style="5" bestFit="1" customWidth="1"/>
    <col min="11" max="13" width="8.88671875" style="5"/>
    <col min="14" max="14" width="10.6640625" style="5" bestFit="1" customWidth="1"/>
    <col min="15" max="16384" width="8.88671875" style="5"/>
  </cols>
  <sheetData>
    <row r="1" spans="1:9" x14ac:dyDescent="0.3">
      <c r="A1" s="3" t="s">
        <v>0</v>
      </c>
      <c r="B1" s="3" t="s">
        <v>37</v>
      </c>
      <c r="C1" s="4" t="s">
        <v>1</v>
      </c>
      <c r="D1" s="4" t="s">
        <v>2</v>
      </c>
      <c r="E1" s="4" t="s">
        <v>3</v>
      </c>
      <c r="F1" s="4" t="s">
        <v>4</v>
      </c>
      <c r="G1" s="4" t="s">
        <v>5</v>
      </c>
      <c r="H1" s="4" t="s">
        <v>6</v>
      </c>
      <c r="I1" s="8" t="s">
        <v>7</v>
      </c>
    </row>
    <row r="2" spans="1:9" x14ac:dyDescent="0.3">
      <c r="A2" s="6">
        <v>45755</v>
      </c>
      <c r="B2" s="7">
        <v>45755</v>
      </c>
      <c r="C2" s="5" t="s">
        <v>8</v>
      </c>
      <c r="D2" s="5" t="s">
        <v>12</v>
      </c>
      <c r="E2" s="5" t="s">
        <v>48</v>
      </c>
      <c r="F2" s="5" t="s">
        <v>29</v>
      </c>
      <c r="G2" s="5">
        <v>35</v>
      </c>
      <c r="H2" s="5">
        <v>55544</v>
      </c>
      <c r="I2" s="9">
        <f>H2*G2</f>
        <v>1944040</v>
      </c>
    </row>
    <row r="3" spans="1:9" x14ac:dyDescent="0.3">
      <c r="A3" s="6">
        <v>45694</v>
      </c>
      <c r="B3" s="7">
        <v>45694</v>
      </c>
      <c r="C3" s="5" t="s">
        <v>9</v>
      </c>
      <c r="D3" s="5" t="s">
        <v>13</v>
      </c>
      <c r="E3" s="5" t="s">
        <v>56</v>
      </c>
      <c r="F3" s="5" t="s">
        <v>30</v>
      </c>
      <c r="G3" s="5">
        <v>28</v>
      </c>
      <c r="H3" s="5">
        <v>19161</v>
      </c>
      <c r="I3" s="9">
        <f t="shared" ref="I3:I66" si="0">H3*G3</f>
        <v>536508</v>
      </c>
    </row>
    <row r="4" spans="1:9" x14ac:dyDescent="0.3">
      <c r="A4" s="6">
        <v>45756</v>
      </c>
      <c r="B4" s="7">
        <v>45756</v>
      </c>
      <c r="C4" s="5" t="s">
        <v>9</v>
      </c>
      <c r="D4" s="5" t="s">
        <v>14</v>
      </c>
      <c r="E4" s="5" t="s">
        <v>26</v>
      </c>
      <c r="F4" s="5" t="s">
        <v>29</v>
      </c>
      <c r="G4" s="5">
        <v>20</v>
      </c>
      <c r="H4" s="5">
        <v>53128</v>
      </c>
      <c r="I4" s="9">
        <f t="shared" si="0"/>
        <v>1062560</v>
      </c>
    </row>
    <row r="5" spans="1:9" x14ac:dyDescent="0.3">
      <c r="A5" s="6">
        <v>45797</v>
      </c>
      <c r="B5" s="7">
        <v>45797</v>
      </c>
      <c r="C5" s="5" t="s">
        <v>9</v>
      </c>
      <c r="D5" s="5" t="s">
        <v>13</v>
      </c>
      <c r="E5" s="5" t="s">
        <v>56</v>
      </c>
      <c r="F5" s="5" t="s">
        <v>30</v>
      </c>
      <c r="G5" s="5">
        <v>5</v>
      </c>
      <c r="H5" s="5">
        <v>18989</v>
      </c>
      <c r="I5" s="9">
        <f t="shared" si="0"/>
        <v>94945</v>
      </c>
    </row>
    <row r="6" spans="1:9" x14ac:dyDescent="0.3">
      <c r="A6" s="6">
        <v>45686</v>
      </c>
      <c r="B6" s="7">
        <v>45686</v>
      </c>
      <c r="C6" s="5" t="s">
        <v>8</v>
      </c>
      <c r="D6" s="5" t="s">
        <v>12</v>
      </c>
      <c r="E6" s="5" t="s">
        <v>48</v>
      </c>
      <c r="F6" s="5" t="s">
        <v>31</v>
      </c>
      <c r="G6" s="5">
        <v>49</v>
      </c>
      <c r="H6" s="5">
        <v>4291</v>
      </c>
      <c r="I6" s="9">
        <f t="shared" si="0"/>
        <v>210259</v>
      </c>
    </row>
    <row r="7" spans="1:9" x14ac:dyDescent="0.3">
      <c r="A7" s="6">
        <v>45775</v>
      </c>
      <c r="B7" s="7">
        <v>45775</v>
      </c>
      <c r="C7" s="5" t="s">
        <v>9</v>
      </c>
      <c r="D7" s="5" t="s">
        <v>14</v>
      </c>
      <c r="E7" s="5" t="s">
        <v>26</v>
      </c>
      <c r="F7" s="5" t="s">
        <v>29</v>
      </c>
      <c r="G7" s="5">
        <v>49</v>
      </c>
      <c r="H7" s="5">
        <v>53445</v>
      </c>
      <c r="I7" s="9">
        <f t="shared" si="0"/>
        <v>2618805</v>
      </c>
    </row>
    <row r="8" spans="1:9" x14ac:dyDescent="0.3">
      <c r="A8" s="6">
        <v>45691</v>
      </c>
      <c r="B8" s="7">
        <v>45691</v>
      </c>
      <c r="C8" s="5" t="s">
        <v>8</v>
      </c>
      <c r="D8" s="5" t="s">
        <v>15</v>
      </c>
      <c r="E8" s="5" t="s">
        <v>53</v>
      </c>
      <c r="F8" s="5" t="s">
        <v>32</v>
      </c>
      <c r="G8" s="5">
        <v>39</v>
      </c>
      <c r="H8" s="5">
        <v>22553</v>
      </c>
      <c r="I8" s="9">
        <f t="shared" si="0"/>
        <v>879567</v>
      </c>
    </row>
    <row r="9" spans="1:9" x14ac:dyDescent="0.3">
      <c r="A9" s="6">
        <v>45709</v>
      </c>
      <c r="B9" s="7">
        <v>45709</v>
      </c>
      <c r="C9" s="5" t="s">
        <v>10</v>
      </c>
      <c r="D9" s="5" t="s">
        <v>16</v>
      </c>
      <c r="E9" s="5" t="s">
        <v>46</v>
      </c>
      <c r="F9" s="5" t="s">
        <v>31</v>
      </c>
      <c r="G9" s="5">
        <v>45</v>
      </c>
      <c r="H9" s="5">
        <v>4161</v>
      </c>
      <c r="I9" s="9">
        <f t="shared" si="0"/>
        <v>187245</v>
      </c>
    </row>
    <row r="10" spans="1:9" x14ac:dyDescent="0.3">
      <c r="A10" s="6">
        <v>45703</v>
      </c>
      <c r="B10" s="7">
        <v>45703</v>
      </c>
      <c r="C10" s="5" t="s">
        <v>10</v>
      </c>
      <c r="D10" s="5" t="s">
        <v>17</v>
      </c>
      <c r="E10" s="5" t="s">
        <v>44</v>
      </c>
      <c r="F10" s="5" t="s">
        <v>30</v>
      </c>
      <c r="G10" s="5">
        <v>46</v>
      </c>
      <c r="H10" s="5">
        <v>18174</v>
      </c>
      <c r="I10" s="9">
        <f t="shared" si="0"/>
        <v>836004</v>
      </c>
    </row>
    <row r="11" spans="1:9" x14ac:dyDescent="0.3">
      <c r="A11" s="6">
        <v>45818</v>
      </c>
      <c r="B11" s="7">
        <v>45818</v>
      </c>
      <c r="C11" s="5" t="s">
        <v>10</v>
      </c>
      <c r="D11" s="5" t="s">
        <v>16</v>
      </c>
      <c r="E11" s="5" t="s">
        <v>47</v>
      </c>
      <c r="F11" s="5" t="s">
        <v>29</v>
      </c>
      <c r="G11" s="5">
        <v>5</v>
      </c>
      <c r="H11" s="5">
        <v>54986</v>
      </c>
      <c r="I11" s="9">
        <f t="shared" si="0"/>
        <v>274930</v>
      </c>
    </row>
    <row r="12" spans="1:9" x14ac:dyDescent="0.3">
      <c r="A12" s="6">
        <v>45732</v>
      </c>
      <c r="B12" s="7">
        <v>45732</v>
      </c>
      <c r="C12" s="5" t="s">
        <v>10</v>
      </c>
      <c r="D12" s="5" t="s">
        <v>18</v>
      </c>
      <c r="E12" s="5" t="s">
        <v>27</v>
      </c>
      <c r="F12" s="5" t="s">
        <v>30</v>
      </c>
      <c r="G12" s="5">
        <v>32</v>
      </c>
      <c r="H12" s="5">
        <v>19561</v>
      </c>
      <c r="I12" s="9">
        <f t="shared" si="0"/>
        <v>625952</v>
      </c>
    </row>
    <row r="13" spans="1:9" x14ac:dyDescent="0.3">
      <c r="A13" s="6">
        <v>45829</v>
      </c>
      <c r="B13" s="7">
        <v>45829</v>
      </c>
      <c r="C13" s="5" t="s">
        <v>11</v>
      </c>
      <c r="D13" s="5" t="s">
        <v>19</v>
      </c>
      <c r="E13" s="5" t="s">
        <v>51</v>
      </c>
      <c r="F13" s="5" t="s">
        <v>29</v>
      </c>
      <c r="G13" s="5">
        <v>19</v>
      </c>
      <c r="H13" s="5">
        <v>56508</v>
      </c>
      <c r="I13" s="9">
        <f t="shared" si="0"/>
        <v>1073652</v>
      </c>
    </row>
    <row r="14" spans="1:9" x14ac:dyDescent="0.3">
      <c r="A14" s="6">
        <v>45828</v>
      </c>
      <c r="B14" s="7">
        <v>45828</v>
      </c>
      <c r="C14" s="5" t="s">
        <v>10</v>
      </c>
      <c r="D14" s="5" t="s">
        <v>17</v>
      </c>
      <c r="E14" s="5" t="s">
        <v>44</v>
      </c>
      <c r="F14" s="5" t="s">
        <v>30</v>
      </c>
      <c r="G14" s="5">
        <v>9</v>
      </c>
      <c r="H14" s="5">
        <v>19310</v>
      </c>
      <c r="I14" s="9">
        <f t="shared" si="0"/>
        <v>173790</v>
      </c>
    </row>
    <row r="15" spans="1:9" x14ac:dyDescent="0.3">
      <c r="A15" s="6">
        <v>45719</v>
      </c>
      <c r="B15" s="7">
        <v>45719</v>
      </c>
      <c r="C15" s="5" t="s">
        <v>10</v>
      </c>
      <c r="D15" s="5" t="s">
        <v>18</v>
      </c>
      <c r="E15" s="5" t="s">
        <v>25</v>
      </c>
      <c r="F15" s="5" t="s">
        <v>32</v>
      </c>
      <c r="G15" s="5">
        <v>17</v>
      </c>
      <c r="H15" s="5">
        <v>23224</v>
      </c>
      <c r="I15" s="9">
        <f t="shared" si="0"/>
        <v>394808</v>
      </c>
    </row>
    <row r="16" spans="1:9" x14ac:dyDescent="0.3">
      <c r="A16" s="6">
        <v>45670</v>
      </c>
      <c r="B16" s="7">
        <v>45670</v>
      </c>
      <c r="C16" s="5" t="s">
        <v>8</v>
      </c>
      <c r="D16" s="5" t="s">
        <v>12</v>
      </c>
      <c r="E16" s="5" t="s">
        <v>48</v>
      </c>
      <c r="F16" s="5" t="s">
        <v>31</v>
      </c>
      <c r="G16" s="5">
        <v>17</v>
      </c>
      <c r="H16" s="5">
        <v>4807</v>
      </c>
      <c r="I16" s="9">
        <f t="shared" si="0"/>
        <v>81719</v>
      </c>
    </row>
    <row r="17" spans="1:9" x14ac:dyDescent="0.3">
      <c r="A17" s="6">
        <v>45707</v>
      </c>
      <c r="B17" s="7">
        <v>45707</v>
      </c>
      <c r="C17" s="5" t="s">
        <v>11</v>
      </c>
      <c r="D17" s="5" t="s">
        <v>20</v>
      </c>
      <c r="E17" s="5" t="s">
        <v>24</v>
      </c>
      <c r="F17" s="5" t="s">
        <v>29</v>
      </c>
      <c r="G17" s="5">
        <v>6</v>
      </c>
      <c r="H17" s="5">
        <v>56822</v>
      </c>
      <c r="I17" s="9">
        <f t="shared" si="0"/>
        <v>340932</v>
      </c>
    </row>
    <row r="18" spans="1:9" x14ac:dyDescent="0.3">
      <c r="A18" s="6">
        <v>45685</v>
      </c>
      <c r="B18" s="7">
        <v>45685</v>
      </c>
      <c r="C18" s="5" t="s">
        <v>11</v>
      </c>
      <c r="D18" s="5" t="s">
        <v>19</v>
      </c>
      <c r="E18" s="5" t="s">
        <v>51</v>
      </c>
      <c r="F18" s="5" t="s">
        <v>32</v>
      </c>
      <c r="G18" s="5">
        <v>22</v>
      </c>
      <c r="H18" s="5">
        <v>23908</v>
      </c>
      <c r="I18" s="9">
        <f t="shared" si="0"/>
        <v>525976</v>
      </c>
    </row>
    <row r="19" spans="1:9" x14ac:dyDescent="0.3">
      <c r="A19" s="6">
        <v>45683</v>
      </c>
      <c r="B19" s="7">
        <v>45683</v>
      </c>
      <c r="C19" s="5" t="s">
        <v>9</v>
      </c>
      <c r="D19" s="5" t="s">
        <v>13</v>
      </c>
      <c r="E19" s="5" t="s">
        <v>56</v>
      </c>
      <c r="F19" s="5" t="s">
        <v>32</v>
      </c>
      <c r="G19" s="5">
        <v>23</v>
      </c>
      <c r="H19" s="5">
        <v>20266</v>
      </c>
      <c r="I19" s="9">
        <f t="shared" si="0"/>
        <v>466118</v>
      </c>
    </row>
    <row r="20" spans="1:9" x14ac:dyDescent="0.3">
      <c r="A20" s="6">
        <v>45747</v>
      </c>
      <c r="B20" s="7">
        <v>45747</v>
      </c>
      <c r="C20" s="5" t="s">
        <v>8</v>
      </c>
      <c r="D20" s="5" t="s">
        <v>21</v>
      </c>
      <c r="E20" s="5" t="s">
        <v>45</v>
      </c>
      <c r="F20" s="5" t="s">
        <v>30</v>
      </c>
      <c r="G20" s="5">
        <v>14</v>
      </c>
      <c r="H20" s="5">
        <v>19854</v>
      </c>
      <c r="I20" s="9">
        <f t="shared" si="0"/>
        <v>277956</v>
      </c>
    </row>
    <row r="21" spans="1:9" x14ac:dyDescent="0.3">
      <c r="A21" s="6">
        <v>45733</v>
      </c>
      <c r="B21" s="7">
        <v>45733</v>
      </c>
      <c r="C21" s="5" t="s">
        <v>9</v>
      </c>
      <c r="D21" s="5" t="s">
        <v>14</v>
      </c>
      <c r="E21" s="5" t="s">
        <v>26</v>
      </c>
      <c r="F21" s="5" t="s">
        <v>33</v>
      </c>
      <c r="G21" s="5">
        <v>32</v>
      </c>
      <c r="H21" s="5">
        <v>12346</v>
      </c>
      <c r="I21" s="9">
        <f t="shared" si="0"/>
        <v>395072</v>
      </c>
    </row>
    <row r="22" spans="1:9" x14ac:dyDescent="0.3">
      <c r="A22" s="6">
        <v>45694</v>
      </c>
      <c r="B22" s="7">
        <v>45694</v>
      </c>
      <c r="C22" s="5" t="s">
        <v>10</v>
      </c>
      <c r="D22" s="5" t="s">
        <v>16</v>
      </c>
      <c r="E22" s="5" t="s">
        <v>46</v>
      </c>
      <c r="F22" s="5" t="s">
        <v>29</v>
      </c>
      <c r="G22" s="5">
        <v>32</v>
      </c>
      <c r="H22" s="5">
        <v>54179</v>
      </c>
      <c r="I22" s="9">
        <f t="shared" si="0"/>
        <v>1733728</v>
      </c>
    </row>
    <row r="23" spans="1:9" x14ac:dyDescent="0.3">
      <c r="A23" s="6">
        <v>45686</v>
      </c>
      <c r="B23" s="7">
        <v>45686</v>
      </c>
      <c r="C23" s="5" t="s">
        <v>11</v>
      </c>
      <c r="D23" s="5" t="s">
        <v>20</v>
      </c>
      <c r="E23" s="5" t="s">
        <v>28</v>
      </c>
      <c r="F23" s="5" t="s">
        <v>32</v>
      </c>
      <c r="G23" s="5">
        <v>36</v>
      </c>
      <c r="H23" s="5">
        <v>21446</v>
      </c>
      <c r="I23" s="9">
        <f t="shared" si="0"/>
        <v>772056</v>
      </c>
    </row>
    <row r="24" spans="1:9" x14ac:dyDescent="0.3">
      <c r="A24" s="6">
        <v>45723</v>
      </c>
      <c r="B24" s="7">
        <v>45723</v>
      </c>
      <c r="C24" s="5" t="s">
        <v>10</v>
      </c>
      <c r="D24" s="5" t="s">
        <v>16</v>
      </c>
      <c r="E24" s="5" t="s">
        <v>46</v>
      </c>
      <c r="F24" s="5" t="s">
        <v>29</v>
      </c>
      <c r="G24" s="5">
        <v>38</v>
      </c>
      <c r="H24" s="5">
        <v>53518</v>
      </c>
      <c r="I24" s="9">
        <f t="shared" si="0"/>
        <v>2033684</v>
      </c>
    </row>
    <row r="25" spans="1:9" x14ac:dyDescent="0.3">
      <c r="A25" s="6">
        <v>45691</v>
      </c>
      <c r="B25" s="7">
        <v>45691</v>
      </c>
      <c r="C25" s="5" t="s">
        <v>8</v>
      </c>
      <c r="D25" s="5" t="s">
        <v>15</v>
      </c>
      <c r="E25" s="5" t="s">
        <v>53</v>
      </c>
      <c r="F25" s="5" t="s">
        <v>33</v>
      </c>
      <c r="G25" s="5">
        <v>24</v>
      </c>
      <c r="H25" s="5">
        <v>11222</v>
      </c>
      <c r="I25" s="9">
        <f t="shared" si="0"/>
        <v>269328</v>
      </c>
    </row>
    <row r="26" spans="1:9" x14ac:dyDescent="0.3">
      <c r="A26" s="6">
        <v>45817</v>
      </c>
      <c r="B26" s="7">
        <v>45817</v>
      </c>
      <c r="C26" s="5" t="s">
        <v>11</v>
      </c>
      <c r="D26" s="5" t="s">
        <v>22</v>
      </c>
      <c r="E26" s="5" t="s">
        <v>58</v>
      </c>
      <c r="F26" s="5" t="s">
        <v>29</v>
      </c>
      <c r="G26" s="5">
        <v>40</v>
      </c>
      <c r="H26" s="5">
        <v>55015</v>
      </c>
      <c r="I26" s="9">
        <f t="shared" si="0"/>
        <v>2200600</v>
      </c>
    </row>
    <row r="27" spans="1:9" x14ac:dyDescent="0.3">
      <c r="A27" s="6">
        <v>45824</v>
      </c>
      <c r="B27" s="7">
        <v>45824</v>
      </c>
      <c r="C27" s="5" t="s">
        <v>8</v>
      </c>
      <c r="D27" s="5" t="s">
        <v>12</v>
      </c>
      <c r="E27" s="5" t="s">
        <v>48</v>
      </c>
      <c r="F27" s="5" t="s">
        <v>30</v>
      </c>
      <c r="G27" s="5">
        <v>25</v>
      </c>
      <c r="H27" s="5">
        <v>18256</v>
      </c>
      <c r="I27" s="9">
        <f t="shared" si="0"/>
        <v>456400</v>
      </c>
    </row>
    <row r="28" spans="1:9" x14ac:dyDescent="0.3">
      <c r="A28" s="6">
        <v>45804</v>
      </c>
      <c r="B28" s="7">
        <v>45804</v>
      </c>
      <c r="C28" s="5" t="s">
        <v>8</v>
      </c>
      <c r="D28" s="5" t="s">
        <v>15</v>
      </c>
      <c r="E28" s="5" t="s">
        <v>53</v>
      </c>
      <c r="F28" s="5" t="s">
        <v>33</v>
      </c>
      <c r="G28" s="5">
        <v>17</v>
      </c>
      <c r="H28" s="5">
        <v>11650</v>
      </c>
      <c r="I28" s="9">
        <f t="shared" si="0"/>
        <v>198050</v>
      </c>
    </row>
    <row r="29" spans="1:9" x14ac:dyDescent="0.3">
      <c r="A29" s="6">
        <v>45686</v>
      </c>
      <c r="B29" s="7">
        <v>45686</v>
      </c>
      <c r="C29" s="5" t="s">
        <v>10</v>
      </c>
      <c r="D29" s="5" t="s">
        <v>16</v>
      </c>
      <c r="E29" s="5" t="s">
        <v>46</v>
      </c>
      <c r="F29" s="5" t="s">
        <v>33</v>
      </c>
      <c r="G29" s="5">
        <v>22</v>
      </c>
      <c r="H29" s="5">
        <v>11292</v>
      </c>
      <c r="I29" s="9">
        <f t="shared" si="0"/>
        <v>248424</v>
      </c>
    </row>
    <row r="30" spans="1:9" x14ac:dyDescent="0.3">
      <c r="A30" s="6">
        <v>45709</v>
      </c>
      <c r="B30" s="7">
        <v>45709</v>
      </c>
      <c r="C30" s="5" t="s">
        <v>11</v>
      </c>
      <c r="D30" s="5" t="s">
        <v>19</v>
      </c>
      <c r="E30" s="5" t="s">
        <v>51</v>
      </c>
      <c r="F30" s="5" t="s">
        <v>32</v>
      </c>
      <c r="G30" s="5">
        <v>31</v>
      </c>
      <c r="H30" s="5">
        <v>21399</v>
      </c>
      <c r="I30" s="9">
        <f t="shared" si="0"/>
        <v>663369</v>
      </c>
    </row>
    <row r="31" spans="1:9" x14ac:dyDescent="0.3">
      <c r="A31" s="6">
        <v>45721</v>
      </c>
      <c r="B31" s="7">
        <v>45721</v>
      </c>
      <c r="C31" s="5" t="s">
        <v>9</v>
      </c>
      <c r="D31" s="5" t="s">
        <v>13</v>
      </c>
      <c r="E31" s="5" t="s">
        <v>56</v>
      </c>
      <c r="F31" s="5" t="s">
        <v>33</v>
      </c>
      <c r="G31" s="5">
        <v>33</v>
      </c>
      <c r="H31" s="5">
        <v>12735</v>
      </c>
      <c r="I31" s="9">
        <f t="shared" si="0"/>
        <v>420255</v>
      </c>
    </row>
    <row r="32" spans="1:9" x14ac:dyDescent="0.3">
      <c r="A32" s="6">
        <v>45736</v>
      </c>
      <c r="B32" s="7">
        <v>45736</v>
      </c>
      <c r="C32" s="5" t="s">
        <v>11</v>
      </c>
      <c r="D32" s="5" t="s">
        <v>20</v>
      </c>
      <c r="E32" s="5" t="s">
        <v>28</v>
      </c>
      <c r="F32" s="5" t="s">
        <v>32</v>
      </c>
      <c r="G32" s="5">
        <v>13</v>
      </c>
      <c r="H32" s="5">
        <v>20198</v>
      </c>
      <c r="I32" s="9">
        <f t="shared" si="0"/>
        <v>262574</v>
      </c>
    </row>
    <row r="33" spans="1:9" x14ac:dyDescent="0.3">
      <c r="A33" s="6">
        <v>45838</v>
      </c>
      <c r="B33" s="7">
        <v>45838</v>
      </c>
      <c r="C33" s="5" t="s">
        <v>10</v>
      </c>
      <c r="D33" s="5" t="s">
        <v>17</v>
      </c>
      <c r="E33" s="5" t="s">
        <v>44</v>
      </c>
      <c r="F33" s="5" t="s">
        <v>30</v>
      </c>
      <c r="G33" s="5">
        <v>48</v>
      </c>
      <c r="H33" s="5">
        <v>18439</v>
      </c>
      <c r="I33" s="9">
        <f t="shared" si="0"/>
        <v>885072</v>
      </c>
    </row>
    <row r="34" spans="1:9" x14ac:dyDescent="0.3">
      <c r="A34" s="6">
        <v>45819</v>
      </c>
      <c r="B34" s="7">
        <v>45819</v>
      </c>
      <c r="C34" s="5" t="s">
        <v>9</v>
      </c>
      <c r="D34" s="5" t="s">
        <v>23</v>
      </c>
      <c r="E34" s="5" t="s">
        <v>60</v>
      </c>
      <c r="F34" s="5" t="s">
        <v>29</v>
      </c>
      <c r="G34" s="5">
        <v>32</v>
      </c>
      <c r="H34" s="5">
        <v>53527</v>
      </c>
      <c r="I34" s="9">
        <f t="shared" si="0"/>
        <v>1712864</v>
      </c>
    </row>
    <row r="35" spans="1:9" x14ac:dyDescent="0.3">
      <c r="A35" s="6">
        <v>45733</v>
      </c>
      <c r="B35" s="7">
        <v>45733</v>
      </c>
      <c r="C35" s="5" t="s">
        <v>10</v>
      </c>
      <c r="D35" s="5" t="s">
        <v>17</v>
      </c>
      <c r="E35" s="5" t="s">
        <v>44</v>
      </c>
      <c r="F35" s="5" t="s">
        <v>30</v>
      </c>
      <c r="G35" s="5">
        <v>42</v>
      </c>
      <c r="H35" s="5">
        <v>17259</v>
      </c>
      <c r="I35" s="9">
        <f t="shared" si="0"/>
        <v>724878</v>
      </c>
    </row>
    <row r="36" spans="1:9" x14ac:dyDescent="0.3">
      <c r="A36" s="6">
        <v>45768</v>
      </c>
      <c r="B36" s="7">
        <v>45768</v>
      </c>
      <c r="C36" s="5" t="s">
        <v>8</v>
      </c>
      <c r="D36" s="5" t="s">
        <v>15</v>
      </c>
      <c r="E36" s="5" t="s">
        <v>53</v>
      </c>
      <c r="F36" s="5" t="s">
        <v>30</v>
      </c>
      <c r="G36" s="5">
        <v>39</v>
      </c>
      <c r="H36" s="5">
        <v>19460</v>
      </c>
      <c r="I36" s="9">
        <f t="shared" si="0"/>
        <v>758940</v>
      </c>
    </row>
    <row r="37" spans="1:9" x14ac:dyDescent="0.3">
      <c r="A37" s="6">
        <v>45784</v>
      </c>
      <c r="B37" s="7">
        <v>45784</v>
      </c>
      <c r="C37" s="5" t="s">
        <v>8</v>
      </c>
      <c r="D37" s="5" t="s">
        <v>21</v>
      </c>
      <c r="E37" s="5" t="s">
        <v>45</v>
      </c>
      <c r="F37" s="5" t="s">
        <v>31</v>
      </c>
      <c r="G37" s="5">
        <v>36</v>
      </c>
      <c r="H37" s="5">
        <v>2170</v>
      </c>
      <c r="I37" s="9">
        <f t="shared" si="0"/>
        <v>78120</v>
      </c>
    </row>
    <row r="38" spans="1:9" x14ac:dyDescent="0.3">
      <c r="A38" s="6">
        <v>45805</v>
      </c>
      <c r="B38" s="7">
        <v>45805</v>
      </c>
      <c r="C38" s="5" t="s">
        <v>8</v>
      </c>
      <c r="D38" s="5" t="s">
        <v>12</v>
      </c>
      <c r="E38" s="5" t="s">
        <v>48</v>
      </c>
      <c r="F38" s="5" t="s">
        <v>32</v>
      </c>
      <c r="G38" s="5">
        <v>40</v>
      </c>
      <c r="H38" s="5">
        <v>20375</v>
      </c>
      <c r="I38" s="9">
        <f t="shared" si="0"/>
        <v>815000</v>
      </c>
    </row>
    <row r="39" spans="1:9" x14ac:dyDescent="0.3">
      <c r="A39" s="6">
        <v>45694</v>
      </c>
      <c r="B39" s="7">
        <v>45694</v>
      </c>
      <c r="C39" s="5" t="s">
        <v>9</v>
      </c>
      <c r="D39" s="5" t="s">
        <v>23</v>
      </c>
      <c r="E39" s="5" t="s">
        <v>60</v>
      </c>
      <c r="F39" s="5" t="s">
        <v>30</v>
      </c>
      <c r="G39" s="5">
        <v>35</v>
      </c>
      <c r="H39" s="5">
        <v>17744</v>
      </c>
      <c r="I39" s="9">
        <f t="shared" si="0"/>
        <v>621040</v>
      </c>
    </row>
    <row r="40" spans="1:9" x14ac:dyDescent="0.3">
      <c r="A40" s="6">
        <v>45686</v>
      </c>
      <c r="B40" s="7">
        <v>45686</v>
      </c>
      <c r="C40" s="5" t="s">
        <v>8</v>
      </c>
      <c r="D40" s="5" t="s">
        <v>15</v>
      </c>
      <c r="E40" s="5" t="s">
        <v>53</v>
      </c>
      <c r="F40" s="5" t="s">
        <v>33</v>
      </c>
      <c r="G40" s="5">
        <v>45</v>
      </c>
      <c r="H40" s="5">
        <v>13891</v>
      </c>
      <c r="I40" s="9">
        <f t="shared" si="0"/>
        <v>625095</v>
      </c>
    </row>
    <row r="41" spans="1:9" x14ac:dyDescent="0.3">
      <c r="A41" s="6">
        <v>45779</v>
      </c>
      <c r="B41" s="7">
        <v>45779</v>
      </c>
      <c r="C41" s="5" t="s">
        <v>8</v>
      </c>
      <c r="D41" s="5" t="s">
        <v>12</v>
      </c>
      <c r="E41" s="5" t="s">
        <v>48</v>
      </c>
      <c r="F41" s="5" t="s">
        <v>31</v>
      </c>
      <c r="G41" s="5">
        <v>34</v>
      </c>
      <c r="H41" s="5">
        <v>1657</v>
      </c>
      <c r="I41" s="9">
        <f t="shared" si="0"/>
        <v>56338</v>
      </c>
    </row>
    <row r="42" spans="1:9" x14ac:dyDescent="0.3">
      <c r="A42" s="6">
        <v>45714</v>
      </c>
      <c r="B42" s="7">
        <v>45714</v>
      </c>
      <c r="C42" s="5" t="s">
        <v>10</v>
      </c>
      <c r="D42" s="5" t="s">
        <v>16</v>
      </c>
      <c r="E42" s="5" t="s">
        <v>46</v>
      </c>
      <c r="F42" s="5" t="s">
        <v>32</v>
      </c>
      <c r="G42" s="5">
        <v>34</v>
      </c>
      <c r="H42" s="5">
        <v>21496</v>
      </c>
      <c r="I42" s="9">
        <f t="shared" si="0"/>
        <v>730864</v>
      </c>
    </row>
    <row r="43" spans="1:9" x14ac:dyDescent="0.3">
      <c r="A43" s="6">
        <v>45729</v>
      </c>
      <c r="B43" s="7">
        <v>45729</v>
      </c>
      <c r="C43" s="5" t="s">
        <v>10</v>
      </c>
      <c r="D43" s="5" t="s">
        <v>18</v>
      </c>
      <c r="E43" s="5" t="s">
        <v>27</v>
      </c>
      <c r="F43" s="5" t="s">
        <v>29</v>
      </c>
      <c r="G43" s="5">
        <v>18</v>
      </c>
      <c r="H43" s="5">
        <v>53109</v>
      </c>
      <c r="I43" s="9">
        <f t="shared" si="0"/>
        <v>955962</v>
      </c>
    </row>
    <row r="44" spans="1:9" x14ac:dyDescent="0.3">
      <c r="A44" s="6">
        <v>45753</v>
      </c>
      <c r="B44" s="7">
        <v>45753</v>
      </c>
      <c r="C44" s="5" t="s">
        <v>11</v>
      </c>
      <c r="D44" s="5" t="s">
        <v>20</v>
      </c>
      <c r="E44" s="5" t="s">
        <v>28</v>
      </c>
      <c r="F44" s="5" t="s">
        <v>31</v>
      </c>
      <c r="G44" s="5">
        <v>34</v>
      </c>
      <c r="H44" s="5">
        <v>2615</v>
      </c>
      <c r="I44" s="9">
        <f t="shared" si="0"/>
        <v>88910</v>
      </c>
    </row>
    <row r="45" spans="1:9" x14ac:dyDescent="0.3">
      <c r="A45" s="6">
        <v>45683</v>
      </c>
      <c r="B45" s="7">
        <v>45683</v>
      </c>
      <c r="C45" s="5" t="s">
        <v>11</v>
      </c>
      <c r="D45" s="5" t="s">
        <v>19</v>
      </c>
      <c r="E45" s="5" t="s">
        <v>51</v>
      </c>
      <c r="F45" s="5" t="s">
        <v>30</v>
      </c>
      <c r="G45" s="5">
        <v>36</v>
      </c>
      <c r="H45" s="5">
        <v>17683</v>
      </c>
      <c r="I45" s="9">
        <f t="shared" si="0"/>
        <v>636588</v>
      </c>
    </row>
    <row r="46" spans="1:9" x14ac:dyDescent="0.3">
      <c r="A46" s="6">
        <v>45799</v>
      </c>
      <c r="B46" s="7">
        <v>45799</v>
      </c>
      <c r="C46" s="5" t="s">
        <v>10</v>
      </c>
      <c r="D46" s="5" t="s">
        <v>18</v>
      </c>
      <c r="E46" s="5" t="s">
        <v>27</v>
      </c>
      <c r="F46" s="5" t="s">
        <v>31</v>
      </c>
      <c r="G46" s="5">
        <v>9</v>
      </c>
      <c r="H46" s="5">
        <v>2316</v>
      </c>
      <c r="I46" s="9">
        <f t="shared" si="0"/>
        <v>20844</v>
      </c>
    </row>
    <row r="47" spans="1:9" x14ac:dyDescent="0.3">
      <c r="A47" s="6">
        <v>45810</v>
      </c>
      <c r="B47" s="7">
        <v>45810</v>
      </c>
      <c r="C47" s="5" t="s">
        <v>9</v>
      </c>
      <c r="D47" s="5" t="s">
        <v>13</v>
      </c>
      <c r="E47" s="5" t="s">
        <v>56</v>
      </c>
      <c r="F47" s="5" t="s">
        <v>33</v>
      </c>
      <c r="G47" s="5">
        <v>34</v>
      </c>
      <c r="H47" s="5">
        <v>11754</v>
      </c>
      <c r="I47" s="9">
        <f t="shared" si="0"/>
        <v>399636</v>
      </c>
    </row>
    <row r="48" spans="1:9" x14ac:dyDescent="0.3">
      <c r="A48" s="6">
        <v>45678</v>
      </c>
      <c r="B48" s="7">
        <v>45678</v>
      </c>
      <c r="C48" s="5" t="s">
        <v>10</v>
      </c>
      <c r="D48" s="5" t="s">
        <v>17</v>
      </c>
      <c r="E48" s="5" t="s">
        <v>44</v>
      </c>
      <c r="F48" s="5" t="s">
        <v>33</v>
      </c>
      <c r="G48" s="5">
        <v>10</v>
      </c>
      <c r="H48" s="5">
        <v>11140</v>
      </c>
      <c r="I48" s="9">
        <f t="shared" si="0"/>
        <v>111400</v>
      </c>
    </row>
    <row r="49" spans="1:9" x14ac:dyDescent="0.3">
      <c r="A49" s="6">
        <v>45709</v>
      </c>
      <c r="B49" s="7">
        <v>45709</v>
      </c>
      <c r="C49" s="5" t="s">
        <v>10</v>
      </c>
      <c r="D49" s="5" t="s">
        <v>17</v>
      </c>
      <c r="E49" s="5" t="s">
        <v>44</v>
      </c>
      <c r="F49" s="5" t="s">
        <v>32</v>
      </c>
      <c r="G49" s="5">
        <v>42</v>
      </c>
      <c r="H49" s="5">
        <v>21452</v>
      </c>
      <c r="I49" s="9">
        <f t="shared" si="0"/>
        <v>900984</v>
      </c>
    </row>
    <row r="50" spans="1:9" x14ac:dyDescent="0.3">
      <c r="A50" s="6">
        <v>45780</v>
      </c>
      <c r="B50" s="7">
        <v>45780</v>
      </c>
      <c r="C50" s="5" t="s">
        <v>9</v>
      </c>
      <c r="D50" s="5" t="s">
        <v>13</v>
      </c>
      <c r="E50" s="5" t="s">
        <v>56</v>
      </c>
      <c r="F50" s="5" t="s">
        <v>30</v>
      </c>
      <c r="G50" s="5">
        <v>47</v>
      </c>
      <c r="H50" s="5">
        <v>18343</v>
      </c>
      <c r="I50" s="9">
        <f t="shared" si="0"/>
        <v>862121</v>
      </c>
    </row>
    <row r="51" spans="1:9" x14ac:dyDescent="0.3">
      <c r="A51" s="6">
        <v>45820</v>
      </c>
      <c r="B51" s="7">
        <v>45820</v>
      </c>
      <c r="C51" s="5" t="s">
        <v>11</v>
      </c>
      <c r="D51" s="5" t="s">
        <v>22</v>
      </c>
      <c r="E51" s="5" t="s">
        <v>59</v>
      </c>
      <c r="F51" s="5" t="s">
        <v>33</v>
      </c>
      <c r="G51" s="5">
        <v>26</v>
      </c>
      <c r="H51" s="5">
        <v>12560</v>
      </c>
      <c r="I51" s="9">
        <f t="shared" si="0"/>
        <v>326560</v>
      </c>
    </row>
    <row r="52" spans="1:9" x14ac:dyDescent="0.3">
      <c r="A52" s="6">
        <v>45816</v>
      </c>
      <c r="B52" s="7">
        <v>45816</v>
      </c>
      <c r="C52" s="5" t="s">
        <v>8</v>
      </c>
      <c r="D52" s="5" t="s">
        <v>15</v>
      </c>
      <c r="E52" s="5" t="s">
        <v>53</v>
      </c>
      <c r="F52" s="5" t="s">
        <v>30</v>
      </c>
      <c r="G52" s="5">
        <v>49</v>
      </c>
      <c r="H52" s="5">
        <v>19459</v>
      </c>
      <c r="I52" s="9">
        <f t="shared" si="0"/>
        <v>953491</v>
      </c>
    </row>
    <row r="53" spans="1:9" x14ac:dyDescent="0.3">
      <c r="A53" s="6">
        <v>45704</v>
      </c>
      <c r="B53" s="7">
        <v>45704</v>
      </c>
      <c r="C53" s="5" t="s">
        <v>8</v>
      </c>
      <c r="D53" s="5" t="s">
        <v>12</v>
      </c>
      <c r="E53" s="5" t="s">
        <v>48</v>
      </c>
      <c r="F53" s="5" t="s">
        <v>33</v>
      </c>
      <c r="G53" s="5">
        <v>18</v>
      </c>
      <c r="H53" s="5">
        <v>12771</v>
      </c>
      <c r="I53" s="9">
        <f t="shared" si="0"/>
        <v>229878</v>
      </c>
    </row>
    <row r="54" spans="1:9" x14ac:dyDescent="0.3">
      <c r="A54" s="6">
        <v>45792</v>
      </c>
      <c r="B54" s="7">
        <v>45792</v>
      </c>
      <c r="C54" s="5" t="s">
        <v>9</v>
      </c>
      <c r="D54" s="5" t="s">
        <v>23</v>
      </c>
      <c r="E54" s="5" t="s">
        <v>60</v>
      </c>
      <c r="F54" s="5" t="s">
        <v>33</v>
      </c>
      <c r="G54" s="5">
        <v>10</v>
      </c>
      <c r="H54" s="5">
        <v>12100</v>
      </c>
      <c r="I54" s="9">
        <f t="shared" si="0"/>
        <v>121000</v>
      </c>
    </row>
    <row r="55" spans="1:9" x14ac:dyDescent="0.3">
      <c r="A55" s="6">
        <v>45739</v>
      </c>
      <c r="B55" s="7">
        <v>45739</v>
      </c>
      <c r="C55" s="5" t="s">
        <v>11</v>
      </c>
      <c r="D55" s="5" t="s">
        <v>20</v>
      </c>
      <c r="E55" s="5" t="s">
        <v>28</v>
      </c>
      <c r="F55" s="5" t="s">
        <v>31</v>
      </c>
      <c r="G55" s="5">
        <v>15</v>
      </c>
      <c r="H55" s="5">
        <v>1065</v>
      </c>
      <c r="I55" s="9">
        <f t="shared" si="0"/>
        <v>15975</v>
      </c>
    </row>
    <row r="56" spans="1:9" x14ac:dyDescent="0.3">
      <c r="A56" s="6">
        <v>45734</v>
      </c>
      <c r="B56" s="7">
        <v>45734</v>
      </c>
      <c r="C56" s="5" t="s">
        <v>11</v>
      </c>
      <c r="D56" s="5" t="s">
        <v>19</v>
      </c>
      <c r="E56" s="5" t="s">
        <v>51</v>
      </c>
      <c r="F56" s="5" t="s">
        <v>29</v>
      </c>
      <c r="G56" s="5">
        <v>32</v>
      </c>
      <c r="H56" s="5">
        <v>53860</v>
      </c>
      <c r="I56" s="9">
        <f t="shared" si="0"/>
        <v>1723520</v>
      </c>
    </row>
    <row r="57" spans="1:9" x14ac:dyDescent="0.3">
      <c r="A57" s="6">
        <v>45774</v>
      </c>
      <c r="B57" s="7">
        <v>45774</v>
      </c>
      <c r="C57" s="5" t="s">
        <v>8</v>
      </c>
      <c r="D57" s="5" t="s">
        <v>12</v>
      </c>
      <c r="E57" s="5" t="s">
        <v>48</v>
      </c>
      <c r="F57" s="5" t="s">
        <v>29</v>
      </c>
      <c r="G57" s="5">
        <v>13</v>
      </c>
      <c r="H57" s="5">
        <v>56672</v>
      </c>
      <c r="I57" s="9">
        <f t="shared" si="0"/>
        <v>736736</v>
      </c>
    </row>
    <row r="58" spans="1:9" x14ac:dyDescent="0.3">
      <c r="A58" s="6">
        <v>45731</v>
      </c>
      <c r="B58" s="7">
        <v>45731</v>
      </c>
      <c r="C58" s="5" t="s">
        <v>10</v>
      </c>
      <c r="D58" s="5" t="s">
        <v>16</v>
      </c>
      <c r="E58" s="5" t="s">
        <v>46</v>
      </c>
      <c r="F58" s="5" t="s">
        <v>31</v>
      </c>
      <c r="G58" s="5">
        <v>37</v>
      </c>
      <c r="H58" s="5">
        <v>2057</v>
      </c>
      <c r="I58" s="9">
        <f t="shared" si="0"/>
        <v>76109</v>
      </c>
    </row>
    <row r="59" spans="1:9" x14ac:dyDescent="0.3">
      <c r="A59" s="6">
        <v>45663</v>
      </c>
      <c r="B59" s="7">
        <v>45663</v>
      </c>
      <c r="C59" s="5" t="s">
        <v>11</v>
      </c>
      <c r="D59" s="5" t="s">
        <v>22</v>
      </c>
      <c r="E59" s="5" t="s">
        <v>58</v>
      </c>
      <c r="F59" s="5" t="s">
        <v>33</v>
      </c>
      <c r="G59" s="5">
        <v>48</v>
      </c>
      <c r="H59" s="5">
        <v>10910</v>
      </c>
      <c r="I59" s="9">
        <f t="shared" si="0"/>
        <v>523680</v>
      </c>
    </row>
    <row r="60" spans="1:9" x14ac:dyDescent="0.3">
      <c r="A60" s="6">
        <v>45726</v>
      </c>
      <c r="B60" s="7">
        <v>45726</v>
      </c>
      <c r="C60" s="5" t="s">
        <v>9</v>
      </c>
      <c r="D60" s="5" t="s">
        <v>13</v>
      </c>
      <c r="E60" s="5" t="s">
        <v>56</v>
      </c>
      <c r="F60" s="5" t="s">
        <v>33</v>
      </c>
      <c r="G60" s="5">
        <v>10</v>
      </c>
      <c r="H60" s="5">
        <v>12399</v>
      </c>
      <c r="I60" s="9">
        <f t="shared" si="0"/>
        <v>123990</v>
      </c>
    </row>
    <row r="61" spans="1:9" x14ac:dyDescent="0.3">
      <c r="A61" s="6">
        <v>45833</v>
      </c>
      <c r="B61" s="7">
        <v>45833</v>
      </c>
      <c r="C61" s="5" t="s">
        <v>9</v>
      </c>
      <c r="D61" s="5" t="s">
        <v>14</v>
      </c>
      <c r="E61" s="5" t="s">
        <v>26</v>
      </c>
      <c r="F61" s="5" t="s">
        <v>33</v>
      </c>
      <c r="G61" s="5">
        <v>46</v>
      </c>
      <c r="H61" s="5">
        <v>10416</v>
      </c>
      <c r="I61" s="9">
        <f t="shared" si="0"/>
        <v>479136</v>
      </c>
    </row>
    <row r="62" spans="1:9" x14ac:dyDescent="0.3">
      <c r="A62" s="6">
        <v>45713</v>
      </c>
      <c r="B62" s="7">
        <v>45713</v>
      </c>
      <c r="C62" s="5" t="s">
        <v>8</v>
      </c>
      <c r="D62" s="5" t="s">
        <v>12</v>
      </c>
      <c r="E62" s="5" t="s">
        <v>48</v>
      </c>
      <c r="F62" s="5" t="s">
        <v>30</v>
      </c>
      <c r="G62" s="5">
        <v>12</v>
      </c>
      <c r="H62" s="5">
        <v>17009</v>
      </c>
      <c r="I62" s="9">
        <f t="shared" si="0"/>
        <v>204108</v>
      </c>
    </row>
    <row r="63" spans="1:9" x14ac:dyDescent="0.3">
      <c r="A63" s="6">
        <v>45684</v>
      </c>
      <c r="B63" s="7">
        <v>45684</v>
      </c>
      <c r="C63" s="5" t="s">
        <v>10</v>
      </c>
      <c r="D63" s="5" t="s">
        <v>16</v>
      </c>
      <c r="E63" s="5" t="s">
        <v>46</v>
      </c>
      <c r="F63" s="5" t="s">
        <v>31</v>
      </c>
      <c r="G63" s="5">
        <v>27</v>
      </c>
      <c r="H63" s="5">
        <v>1981</v>
      </c>
      <c r="I63" s="9">
        <f t="shared" si="0"/>
        <v>53487</v>
      </c>
    </row>
    <row r="64" spans="1:9" x14ac:dyDescent="0.3">
      <c r="A64" s="6">
        <v>45822</v>
      </c>
      <c r="B64" s="7">
        <v>45822</v>
      </c>
      <c r="C64" s="5" t="s">
        <v>10</v>
      </c>
      <c r="D64" s="5" t="s">
        <v>18</v>
      </c>
      <c r="E64" s="5" t="s">
        <v>27</v>
      </c>
      <c r="F64" s="5" t="s">
        <v>31</v>
      </c>
      <c r="G64" s="5">
        <v>11</v>
      </c>
      <c r="H64" s="5">
        <v>3763</v>
      </c>
      <c r="I64" s="9">
        <f t="shared" si="0"/>
        <v>41393</v>
      </c>
    </row>
    <row r="65" spans="1:9" x14ac:dyDescent="0.3">
      <c r="A65" s="6">
        <v>45677</v>
      </c>
      <c r="B65" s="7">
        <v>45677</v>
      </c>
      <c r="C65" s="5" t="s">
        <v>11</v>
      </c>
      <c r="D65" s="5" t="s">
        <v>19</v>
      </c>
      <c r="E65" s="5" t="s">
        <v>51</v>
      </c>
      <c r="F65" s="5" t="s">
        <v>31</v>
      </c>
      <c r="G65" s="5">
        <v>22</v>
      </c>
      <c r="H65" s="5">
        <v>3877</v>
      </c>
      <c r="I65" s="9">
        <f t="shared" si="0"/>
        <v>85294</v>
      </c>
    </row>
    <row r="66" spans="1:9" x14ac:dyDescent="0.3">
      <c r="A66" s="6">
        <v>45769</v>
      </c>
      <c r="B66" s="7">
        <v>45769</v>
      </c>
      <c r="C66" s="5" t="s">
        <v>9</v>
      </c>
      <c r="D66" s="5" t="s">
        <v>13</v>
      </c>
      <c r="E66" s="5" t="s">
        <v>56</v>
      </c>
      <c r="F66" s="5" t="s">
        <v>30</v>
      </c>
      <c r="G66" s="5">
        <v>35</v>
      </c>
      <c r="H66" s="5">
        <v>16308</v>
      </c>
      <c r="I66" s="9">
        <f t="shared" si="0"/>
        <v>570780</v>
      </c>
    </row>
    <row r="67" spans="1:9" x14ac:dyDescent="0.3">
      <c r="A67" s="6">
        <v>45704</v>
      </c>
      <c r="B67" s="7">
        <v>45704</v>
      </c>
      <c r="C67" s="5" t="s">
        <v>11</v>
      </c>
      <c r="D67" s="5" t="s">
        <v>22</v>
      </c>
      <c r="E67" s="5" t="s">
        <v>58</v>
      </c>
      <c r="F67" s="5" t="s">
        <v>32</v>
      </c>
      <c r="G67" s="5">
        <v>31</v>
      </c>
      <c r="H67" s="5">
        <v>23811</v>
      </c>
      <c r="I67" s="9">
        <f t="shared" ref="I67:I130" si="1">H67*G67</f>
        <v>738141</v>
      </c>
    </row>
    <row r="68" spans="1:9" x14ac:dyDescent="0.3">
      <c r="A68" s="6">
        <v>45779</v>
      </c>
      <c r="B68" s="7">
        <v>45779</v>
      </c>
      <c r="C68" s="5" t="s">
        <v>10</v>
      </c>
      <c r="D68" s="5" t="s">
        <v>17</v>
      </c>
      <c r="E68" s="5" t="s">
        <v>44</v>
      </c>
      <c r="F68" s="5" t="s">
        <v>29</v>
      </c>
      <c r="G68" s="5">
        <v>12</v>
      </c>
      <c r="H68" s="5">
        <v>53589</v>
      </c>
      <c r="I68" s="9">
        <f t="shared" si="1"/>
        <v>643068</v>
      </c>
    </row>
    <row r="69" spans="1:9" x14ac:dyDescent="0.3">
      <c r="A69" s="6">
        <v>45765</v>
      </c>
      <c r="B69" s="7">
        <v>45765</v>
      </c>
      <c r="C69" s="5" t="s">
        <v>11</v>
      </c>
      <c r="D69" s="5" t="s">
        <v>20</v>
      </c>
      <c r="E69" s="5" t="s">
        <v>28</v>
      </c>
      <c r="F69" s="5" t="s">
        <v>33</v>
      </c>
      <c r="G69" s="5">
        <v>9</v>
      </c>
      <c r="H69" s="5">
        <v>13371</v>
      </c>
      <c r="I69" s="9">
        <f t="shared" si="1"/>
        <v>120339</v>
      </c>
    </row>
    <row r="70" spans="1:9" x14ac:dyDescent="0.3">
      <c r="A70" s="6">
        <v>45719</v>
      </c>
      <c r="B70" s="7">
        <v>45719</v>
      </c>
      <c r="C70" s="5" t="s">
        <v>8</v>
      </c>
      <c r="D70" s="5" t="s">
        <v>12</v>
      </c>
      <c r="E70" s="5" t="s">
        <v>48</v>
      </c>
      <c r="F70" s="5" t="s">
        <v>31</v>
      </c>
      <c r="G70" s="5">
        <v>14</v>
      </c>
      <c r="H70" s="5">
        <v>2654</v>
      </c>
      <c r="I70" s="9">
        <f t="shared" si="1"/>
        <v>37156</v>
      </c>
    </row>
    <row r="71" spans="1:9" x14ac:dyDescent="0.3">
      <c r="A71" s="6">
        <v>45794</v>
      </c>
      <c r="B71" s="7">
        <v>45794</v>
      </c>
      <c r="C71" s="5" t="s">
        <v>10</v>
      </c>
      <c r="D71" s="5" t="s">
        <v>17</v>
      </c>
      <c r="E71" s="5" t="s">
        <v>44</v>
      </c>
      <c r="F71" s="5" t="s">
        <v>29</v>
      </c>
      <c r="G71" s="5">
        <v>21</v>
      </c>
      <c r="H71" s="5">
        <v>56402</v>
      </c>
      <c r="I71" s="9">
        <f t="shared" si="1"/>
        <v>1184442</v>
      </c>
    </row>
    <row r="72" spans="1:9" x14ac:dyDescent="0.3">
      <c r="A72" s="6">
        <v>45811</v>
      </c>
      <c r="B72" s="7">
        <v>45811</v>
      </c>
      <c r="C72" s="5" t="s">
        <v>8</v>
      </c>
      <c r="D72" s="5" t="s">
        <v>21</v>
      </c>
      <c r="E72" s="5" t="s">
        <v>45</v>
      </c>
      <c r="F72" s="5" t="s">
        <v>31</v>
      </c>
      <c r="G72" s="5">
        <v>49</v>
      </c>
      <c r="H72" s="5">
        <v>1447</v>
      </c>
      <c r="I72" s="9">
        <f t="shared" si="1"/>
        <v>70903</v>
      </c>
    </row>
    <row r="73" spans="1:9" x14ac:dyDescent="0.3">
      <c r="A73" s="6">
        <v>45795</v>
      </c>
      <c r="B73" s="7">
        <v>45795</v>
      </c>
      <c r="C73" s="5" t="s">
        <v>9</v>
      </c>
      <c r="D73" s="5" t="s">
        <v>13</v>
      </c>
      <c r="E73" s="5" t="s">
        <v>56</v>
      </c>
      <c r="F73" s="5" t="s">
        <v>31</v>
      </c>
      <c r="G73" s="5">
        <v>37</v>
      </c>
      <c r="H73" s="5">
        <v>3682</v>
      </c>
      <c r="I73" s="9">
        <f t="shared" si="1"/>
        <v>136234</v>
      </c>
    </row>
    <row r="74" spans="1:9" x14ac:dyDescent="0.3">
      <c r="A74" s="6">
        <v>45714</v>
      </c>
      <c r="B74" s="7">
        <v>45714</v>
      </c>
      <c r="C74" s="5" t="s">
        <v>9</v>
      </c>
      <c r="D74" s="5" t="s">
        <v>14</v>
      </c>
      <c r="E74" s="5" t="s">
        <v>26</v>
      </c>
      <c r="F74" s="5" t="s">
        <v>33</v>
      </c>
      <c r="G74" s="5">
        <v>41</v>
      </c>
      <c r="H74" s="5">
        <v>12250</v>
      </c>
      <c r="I74" s="9">
        <f t="shared" si="1"/>
        <v>502250</v>
      </c>
    </row>
    <row r="75" spans="1:9" x14ac:dyDescent="0.3">
      <c r="A75" s="6">
        <v>45773</v>
      </c>
      <c r="B75" s="7">
        <v>45773</v>
      </c>
      <c r="C75" s="5" t="s">
        <v>8</v>
      </c>
      <c r="D75" s="5" t="s">
        <v>12</v>
      </c>
      <c r="E75" s="5" t="s">
        <v>49</v>
      </c>
      <c r="F75" s="5" t="s">
        <v>31</v>
      </c>
      <c r="G75" s="5">
        <v>32</v>
      </c>
      <c r="H75" s="5">
        <v>4070</v>
      </c>
      <c r="I75" s="9">
        <f t="shared" si="1"/>
        <v>130240</v>
      </c>
    </row>
    <row r="76" spans="1:9" x14ac:dyDescent="0.3">
      <c r="A76" s="6">
        <v>45727</v>
      </c>
      <c r="B76" s="7">
        <v>45727</v>
      </c>
      <c r="C76" s="5" t="s">
        <v>8</v>
      </c>
      <c r="D76" s="5" t="s">
        <v>15</v>
      </c>
      <c r="E76" s="5" t="s">
        <v>53</v>
      </c>
      <c r="F76" s="5" t="s">
        <v>30</v>
      </c>
      <c r="G76" s="5">
        <v>11</v>
      </c>
      <c r="H76" s="5">
        <v>18001</v>
      </c>
      <c r="I76" s="9">
        <f t="shared" si="1"/>
        <v>198011</v>
      </c>
    </row>
    <row r="77" spans="1:9" x14ac:dyDescent="0.3">
      <c r="A77" s="6">
        <v>45755</v>
      </c>
      <c r="B77" s="7">
        <v>45755</v>
      </c>
      <c r="C77" s="5" t="s">
        <v>9</v>
      </c>
      <c r="D77" s="5" t="s">
        <v>13</v>
      </c>
      <c r="E77" s="5" t="s">
        <v>56</v>
      </c>
      <c r="F77" s="5" t="s">
        <v>31</v>
      </c>
      <c r="G77" s="5">
        <v>27</v>
      </c>
      <c r="H77" s="5">
        <v>4173</v>
      </c>
      <c r="I77" s="9">
        <f t="shared" si="1"/>
        <v>112671</v>
      </c>
    </row>
    <row r="78" spans="1:9" x14ac:dyDescent="0.3">
      <c r="A78" s="6">
        <v>45755</v>
      </c>
      <c r="B78" s="7">
        <v>45755</v>
      </c>
      <c r="C78" s="5" t="s">
        <v>8</v>
      </c>
      <c r="D78" s="5" t="s">
        <v>21</v>
      </c>
      <c r="E78" s="5" t="s">
        <v>45</v>
      </c>
      <c r="F78" s="5" t="s">
        <v>33</v>
      </c>
      <c r="G78" s="5">
        <v>27</v>
      </c>
      <c r="H78" s="5">
        <v>12460</v>
      </c>
      <c r="I78" s="9">
        <f t="shared" si="1"/>
        <v>336420</v>
      </c>
    </row>
    <row r="79" spans="1:9" x14ac:dyDescent="0.3">
      <c r="A79" s="6">
        <v>45769</v>
      </c>
      <c r="B79" s="7">
        <v>45769</v>
      </c>
      <c r="C79" s="5" t="s">
        <v>11</v>
      </c>
      <c r="D79" s="5" t="s">
        <v>22</v>
      </c>
      <c r="E79" s="5" t="s">
        <v>58</v>
      </c>
      <c r="F79" s="5" t="s">
        <v>31</v>
      </c>
      <c r="G79" s="5">
        <v>45</v>
      </c>
      <c r="H79" s="5">
        <v>4730</v>
      </c>
      <c r="I79" s="9">
        <f t="shared" si="1"/>
        <v>212850</v>
      </c>
    </row>
    <row r="80" spans="1:9" x14ac:dyDescent="0.3">
      <c r="A80" s="6">
        <v>45747</v>
      </c>
      <c r="B80" s="7">
        <v>45747</v>
      </c>
      <c r="C80" s="5" t="s">
        <v>10</v>
      </c>
      <c r="D80" s="5" t="s">
        <v>16</v>
      </c>
      <c r="E80" s="5" t="s">
        <v>27</v>
      </c>
      <c r="F80" s="5" t="s">
        <v>33</v>
      </c>
      <c r="G80" s="5">
        <v>10</v>
      </c>
      <c r="H80" s="5">
        <v>13432</v>
      </c>
      <c r="I80" s="9">
        <f t="shared" si="1"/>
        <v>134320</v>
      </c>
    </row>
    <row r="81" spans="1:9" x14ac:dyDescent="0.3">
      <c r="A81" s="6">
        <v>45680</v>
      </c>
      <c r="B81" s="7">
        <v>45680</v>
      </c>
      <c r="C81" s="5" t="s">
        <v>11</v>
      </c>
      <c r="D81" s="5" t="s">
        <v>20</v>
      </c>
      <c r="E81" s="5" t="s">
        <v>28</v>
      </c>
      <c r="F81" s="5" t="s">
        <v>32</v>
      </c>
      <c r="G81" s="5">
        <v>43</v>
      </c>
      <c r="H81" s="5">
        <v>23713</v>
      </c>
      <c r="I81" s="9">
        <f t="shared" si="1"/>
        <v>1019659</v>
      </c>
    </row>
    <row r="82" spans="1:9" x14ac:dyDescent="0.3">
      <c r="A82" s="6">
        <v>45676</v>
      </c>
      <c r="B82" s="7">
        <v>45676</v>
      </c>
      <c r="C82" s="5" t="s">
        <v>8</v>
      </c>
      <c r="D82" s="5" t="s">
        <v>12</v>
      </c>
      <c r="E82" s="5" t="s">
        <v>49</v>
      </c>
      <c r="F82" s="5" t="s">
        <v>33</v>
      </c>
      <c r="G82" s="5">
        <v>44</v>
      </c>
      <c r="H82" s="5">
        <v>13312</v>
      </c>
      <c r="I82" s="9">
        <f t="shared" si="1"/>
        <v>585728</v>
      </c>
    </row>
    <row r="83" spans="1:9" x14ac:dyDescent="0.3">
      <c r="A83" s="6">
        <v>45818</v>
      </c>
      <c r="B83" s="7">
        <v>45818</v>
      </c>
      <c r="C83" s="5" t="s">
        <v>8</v>
      </c>
      <c r="D83" s="5" t="s">
        <v>15</v>
      </c>
      <c r="E83" s="5" t="s">
        <v>53</v>
      </c>
      <c r="F83" s="5" t="s">
        <v>30</v>
      </c>
      <c r="G83" s="5">
        <v>16</v>
      </c>
      <c r="H83" s="5">
        <v>17693</v>
      </c>
      <c r="I83" s="9">
        <f t="shared" si="1"/>
        <v>283088</v>
      </c>
    </row>
    <row r="84" spans="1:9" x14ac:dyDescent="0.3">
      <c r="A84" s="6">
        <v>45830</v>
      </c>
      <c r="B84" s="7">
        <v>45830</v>
      </c>
      <c r="C84" s="5" t="s">
        <v>11</v>
      </c>
      <c r="D84" s="5" t="s">
        <v>19</v>
      </c>
      <c r="E84" s="5" t="s">
        <v>51</v>
      </c>
      <c r="F84" s="5" t="s">
        <v>33</v>
      </c>
      <c r="G84" s="5">
        <v>37</v>
      </c>
      <c r="H84" s="5">
        <v>12520</v>
      </c>
      <c r="I84" s="9">
        <f t="shared" si="1"/>
        <v>463240</v>
      </c>
    </row>
    <row r="85" spans="1:9" x14ac:dyDescent="0.3">
      <c r="A85" s="6">
        <v>45671</v>
      </c>
      <c r="B85" s="7">
        <v>45671</v>
      </c>
      <c r="C85" s="5" t="s">
        <v>10</v>
      </c>
      <c r="D85" s="5" t="s">
        <v>17</v>
      </c>
      <c r="E85" s="5" t="s">
        <v>44</v>
      </c>
      <c r="F85" s="5" t="s">
        <v>31</v>
      </c>
      <c r="G85" s="5">
        <v>10</v>
      </c>
      <c r="H85" s="5">
        <v>3071</v>
      </c>
      <c r="I85" s="9">
        <f t="shared" si="1"/>
        <v>30710</v>
      </c>
    </row>
    <row r="86" spans="1:9" x14ac:dyDescent="0.3">
      <c r="A86" s="6">
        <v>45761</v>
      </c>
      <c r="B86" s="7">
        <v>45761</v>
      </c>
      <c r="C86" s="5" t="s">
        <v>9</v>
      </c>
      <c r="D86" s="5" t="s">
        <v>13</v>
      </c>
      <c r="E86" s="5" t="s">
        <v>57</v>
      </c>
      <c r="F86" s="5" t="s">
        <v>29</v>
      </c>
      <c r="G86" s="5">
        <v>35</v>
      </c>
      <c r="H86" s="5">
        <v>55782</v>
      </c>
      <c r="I86" s="9">
        <f t="shared" si="1"/>
        <v>1952370</v>
      </c>
    </row>
    <row r="87" spans="1:9" x14ac:dyDescent="0.3">
      <c r="A87" s="6">
        <v>45774</v>
      </c>
      <c r="B87" s="7">
        <v>45774</v>
      </c>
      <c r="C87" s="5" t="s">
        <v>11</v>
      </c>
      <c r="D87" s="5" t="s">
        <v>22</v>
      </c>
      <c r="E87" s="5" t="s">
        <v>58</v>
      </c>
      <c r="F87" s="5" t="s">
        <v>32</v>
      </c>
      <c r="G87" s="5">
        <v>50</v>
      </c>
      <c r="H87" s="5">
        <v>23950</v>
      </c>
      <c r="I87" s="9">
        <f t="shared" si="1"/>
        <v>1197500</v>
      </c>
    </row>
    <row r="88" spans="1:9" x14ac:dyDescent="0.3">
      <c r="A88" s="6">
        <v>45746</v>
      </c>
      <c r="B88" s="7">
        <v>45746</v>
      </c>
      <c r="C88" s="5" t="s">
        <v>9</v>
      </c>
      <c r="D88" s="5" t="s">
        <v>23</v>
      </c>
      <c r="E88" s="5" t="s">
        <v>60</v>
      </c>
      <c r="F88" s="5" t="s">
        <v>31</v>
      </c>
      <c r="G88" s="5">
        <v>21</v>
      </c>
      <c r="H88" s="5">
        <v>1080</v>
      </c>
      <c r="I88" s="9">
        <f t="shared" si="1"/>
        <v>22680</v>
      </c>
    </row>
    <row r="89" spans="1:9" x14ac:dyDescent="0.3">
      <c r="A89" s="6">
        <v>45797</v>
      </c>
      <c r="B89" s="7">
        <v>45797</v>
      </c>
      <c r="C89" s="5" t="s">
        <v>9</v>
      </c>
      <c r="D89" s="5" t="s">
        <v>23</v>
      </c>
      <c r="E89" s="5" t="s">
        <v>60</v>
      </c>
      <c r="F89" s="5" t="s">
        <v>29</v>
      </c>
      <c r="G89" s="5">
        <v>33</v>
      </c>
      <c r="H89" s="5">
        <v>55383</v>
      </c>
      <c r="I89" s="9">
        <f t="shared" si="1"/>
        <v>1827639</v>
      </c>
    </row>
    <row r="90" spans="1:9" x14ac:dyDescent="0.3">
      <c r="A90" s="6">
        <v>45767</v>
      </c>
      <c r="B90" s="7">
        <v>45767</v>
      </c>
      <c r="C90" s="5" t="s">
        <v>8</v>
      </c>
      <c r="D90" s="5" t="s">
        <v>15</v>
      </c>
      <c r="E90" s="5" t="s">
        <v>53</v>
      </c>
      <c r="F90" s="5" t="s">
        <v>29</v>
      </c>
      <c r="G90" s="5">
        <v>47</v>
      </c>
      <c r="H90" s="5">
        <v>55204</v>
      </c>
      <c r="I90" s="9">
        <f t="shared" si="1"/>
        <v>2594588</v>
      </c>
    </row>
    <row r="91" spans="1:9" x14ac:dyDescent="0.3">
      <c r="A91" s="6">
        <v>45684</v>
      </c>
      <c r="B91" s="7">
        <v>45684</v>
      </c>
      <c r="C91" s="5" t="s">
        <v>11</v>
      </c>
      <c r="D91" s="5" t="s">
        <v>22</v>
      </c>
      <c r="E91" s="5" t="s">
        <v>58</v>
      </c>
      <c r="F91" s="5" t="s">
        <v>31</v>
      </c>
      <c r="G91" s="5">
        <v>31</v>
      </c>
      <c r="H91" s="5">
        <v>4593</v>
      </c>
      <c r="I91" s="9">
        <f t="shared" si="1"/>
        <v>142383</v>
      </c>
    </row>
    <row r="92" spans="1:9" x14ac:dyDescent="0.3">
      <c r="A92" s="6">
        <v>45827</v>
      </c>
      <c r="B92" s="7">
        <v>45827</v>
      </c>
      <c r="C92" s="5" t="s">
        <v>11</v>
      </c>
      <c r="D92" s="5" t="s">
        <v>22</v>
      </c>
      <c r="E92" s="5" t="s">
        <v>58</v>
      </c>
      <c r="F92" s="5" t="s">
        <v>32</v>
      </c>
      <c r="G92" s="5">
        <v>38</v>
      </c>
      <c r="H92" s="5">
        <v>21813</v>
      </c>
      <c r="I92" s="9">
        <f t="shared" si="1"/>
        <v>828894</v>
      </c>
    </row>
    <row r="93" spans="1:9" x14ac:dyDescent="0.3">
      <c r="A93" s="6">
        <v>45809</v>
      </c>
      <c r="B93" s="7">
        <v>45809</v>
      </c>
      <c r="C93" s="5" t="s">
        <v>10</v>
      </c>
      <c r="D93" s="5" t="s">
        <v>16</v>
      </c>
      <c r="E93" s="5" t="s">
        <v>47</v>
      </c>
      <c r="F93" s="5" t="s">
        <v>29</v>
      </c>
      <c r="G93" s="5">
        <v>28</v>
      </c>
      <c r="H93" s="5">
        <v>56197</v>
      </c>
      <c r="I93" s="9">
        <f t="shared" si="1"/>
        <v>1573516</v>
      </c>
    </row>
    <row r="94" spans="1:9" x14ac:dyDescent="0.3">
      <c r="A94" s="6">
        <v>45792</v>
      </c>
      <c r="B94" s="7">
        <v>45792</v>
      </c>
      <c r="C94" s="5" t="s">
        <v>8</v>
      </c>
      <c r="D94" s="5" t="s">
        <v>21</v>
      </c>
      <c r="E94" s="5" t="s">
        <v>45</v>
      </c>
      <c r="F94" s="5" t="s">
        <v>31</v>
      </c>
      <c r="G94" s="5">
        <v>15</v>
      </c>
      <c r="H94" s="5">
        <v>3871</v>
      </c>
      <c r="I94" s="9">
        <f t="shared" si="1"/>
        <v>58065</v>
      </c>
    </row>
    <row r="95" spans="1:9" x14ac:dyDescent="0.3">
      <c r="A95" s="6">
        <v>45788</v>
      </c>
      <c r="B95" s="7">
        <v>45788</v>
      </c>
      <c r="C95" s="5" t="s">
        <v>10</v>
      </c>
      <c r="D95" s="5" t="s">
        <v>16</v>
      </c>
      <c r="E95" s="5" t="s">
        <v>47</v>
      </c>
      <c r="F95" s="5" t="s">
        <v>30</v>
      </c>
      <c r="G95" s="5">
        <v>18</v>
      </c>
      <c r="H95" s="5">
        <v>18010</v>
      </c>
      <c r="I95" s="9">
        <f t="shared" si="1"/>
        <v>324180</v>
      </c>
    </row>
    <row r="96" spans="1:9" x14ac:dyDescent="0.3">
      <c r="A96" s="6">
        <v>45803</v>
      </c>
      <c r="B96" s="7">
        <v>45803</v>
      </c>
      <c r="C96" s="5" t="s">
        <v>10</v>
      </c>
      <c r="D96" s="5" t="s">
        <v>18</v>
      </c>
      <c r="E96" s="5" t="s">
        <v>27</v>
      </c>
      <c r="F96" s="5" t="s">
        <v>33</v>
      </c>
      <c r="G96" s="5">
        <v>18</v>
      </c>
      <c r="H96" s="5">
        <v>13288</v>
      </c>
      <c r="I96" s="9">
        <f t="shared" si="1"/>
        <v>239184</v>
      </c>
    </row>
    <row r="97" spans="1:9" x14ac:dyDescent="0.3">
      <c r="A97" s="6">
        <v>45734</v>
      </c>
      <c r="B97" s="7">
        <v>45734</v>
      </c>
      <c r="C97" s="5" t="s">
        <v>8</v>
      </c>
      <c r="D97" s="5" t="s">
        <v>21</v>
      </c>
      <c r="E97" s="5" t="s">
        <v>45</v>
      </c>
      <c r="F97" s="5" t="s">
        <v>33</v>
      </c>
      <c r="G97" s="5">
        <v>36</v>
      </c>
      <c r="H97" s="5">
        <v>10599</v>
      </c>
      <c r="I97" s="9">
        <f t="shared" si="1"/>
        <v>381564</v>
      </c>
    </row>
    <row r="98" spans="1:9" x14ac:dyDescent="0.3">
      <c r="A98" s="6">
        <v>45704</v>
      </c>
      <c r="B98" s="7">
        <v>45704</v>
      </c>
      <c r="C98" s="5" t="s">
        <v>11</v>
      </c>
      <c r="D98" s="5" t="s">
        <v>20</v>
      </c>
      <c r="E98" s="5" t="s">
        <v>28</v>
      </c>
      <c r="F98" s="5" t="s">
        <v>32</v>
      </c>
      <c r="G98" s="5">
        <v>40</v>
      </c>
      <c r="H98" s="5">
        <v>23422</v>
      </c>
      <c r="I98" s="9">
        <f t="shared" si="1"/>
        <v>936880</v>
      </c>
    </row>
    <row r="99" spans="1:9" x14ac:dyDescent="0.3">
      <c r="A99" s="6">
        <v>45807</v>
      </c>
      <c r="B99" s="7">
        <v>45807</v>
      </c>
      <c r="C99" s="5" t="s">
        <v>11</v>
      </c>
      <c r="D99" s="5" t="s">
        <v>20</v>
      </c>
      <c r="E99" s="5" t="s">
        <v>24</v>
      </c>
      <c r="F99" s="5" t="s">
        <v>30</v>
      </c>
      <c r="G99" s="5">
        <v>15</v>
      </c>
      <c r="H99" s="5">
        <v>16961</v>
      </c>
      <c r="I99" s="9">
        <f t="shared" si="1"/>
        <v>254415</v>
      </c>
    </row>
    <row r="100" spans="1:9" x14ac:dyDescent="0.3">
      <c r="A100" s="6">
        <v>45811</v>
      </c>
      <c r="B100" s="7">
        <v>45811</v>
      </c>
      <c r="C100" s="5" t="s">
        <v>8</v>
      </c>
      <c r="D100" s="5" t="s">
        <v>12</v>
      </c>
      <c r="E100" s="5" t="s">
        <v>49</v>
      </c>
      <c r="F100" s="5" t="s">
        <v>32</v>
      </c>
      <c r="G100" s="5">
        <v>19</v>
      </c>
      <c r="H100" s="5">
        <v>23804</v>
      </c>
      <c r="I100" s="9">
        <f t="shared" si="1"/>
        <v>452276</v>
      </c>
    </row>
    <row r="101" spans="1:9" x14ac:dyDescent="0.3">
      <c r="A101" s="6">
        <v>45700</v>
      </c>
      <c r="B101" s="7">
        <v>45700</v>
      </c>
      <c r="C101" s="5" t="s">
        <v>8</v>
      </c>
      <c r="D101" s="5" t="s">
        <v>12</v>
      </c>
      <c r="E101" s="5" t="s">
        <v>49</v>
      </c>
      <c r="F101" s="5" t="s">
        <v>30</v>
      </c>
      <c r="G101" s="5">
        <v>47</v>
      </c>
      <c r="H101" s="5">
        <v>19688</v>
      </c>
      <c r="I101" s="9">
        <f t="shared" si="1"/>
        <v>925336</v>
      </c>
    </row>
    <row r="102" spans="1:9" x14ac:dyDescent="0.3">
      <c r="A102" s="6">
        <v>45683</v>
      </c>
      <c r="B102" s="7">
        <v>45683</v>
      </c>
      <c r="C102" s="5" t="s">
        <v>10</v>
      </c>
      <c r="D102" s="5" t="s">
        <v>18</v>
      </c>
      <c r="E102" s="5" t="s">
        <v>27</v>
      </c>
      <c r="F102" s="5" t="s">
        <v>31</v>
      </c>
      <c r="G102" s="5">
        <v>19</v>
      </c>
      <c r="H102" s="5">
        <v>3981</v>
      </c>
      <c r="I102" s="9">
        <f t="shared" si="1"/>
        <v>75639</v>
      </c>
    </row>
    <row r="103" spans="1:9" x14ac:dyDescent="0.3">
      <c r="A103" s="6">
        <v>45817</v>
      </c>
      <c r="B103" s="7">
        <v>45817</v>
      </c>
      <c r="C103" s="5" t="s">
        <v>9</v>
      </c>
      <c r="D103" s="5" t="s">
        <v>13</v>
      </c>
      <c r="E103" s="5" t="s">
        <v>57</v>
      </c>
      <c r="F103" s="5" t="s">
        <v>30</v>
      </c>
      <c r="G103" s="5">
        <v>13</v>
      </c>
      <c r="H103" s="5">
        <v>17035</v>
      </c>
      <c r="I103" s="9">
        <f t="shared" si="1"/>
        <v>221455</v>
      </c>
    </row>
    <row r="104" spans="1:9" x14ac:dyDescent="0.3">
      <c r="A104" s="6">
        <v>45810</v>
      </c>
      <c r="B104" s="7">
        <v>45810</v>
      </c>
      <c r="C104" s="5" t="s">
        <v>11</v>
      </c>
      <c r="D104" s="5" t="s">
        <v>22</v>
      </c>
      <c r="E104" s="5" t="s">
        <v>58</v>
      </c>
      <c r="F104" s="5" t="s">
        <v>33</v>
      </c>
      <c r="G104" s="5">
        <v>28</v>
      </c>
      <c r="H104" s="5">
        <v>12049</v>
      </c>
      <c r="I104" s="9">
        <f t="shared" si="1"/>
        <v>337372</v>
      </c>
    </row>
    <row r="105" spans="1:9" x14ac:dyDescent="0.3">
      <c r="A105" s="6">
        <v>45686</v>
      </c>
      <c r="B105" s="7">
        <v>45686</v>
      </c>
      <c r="C105" s="5" t="s">
        <v>10</v>
      </c>
      <c r="D105" s="5" t="s">
        <v>18</v>
      </c>
      <c r="E105" s="5" t="s">
        <v>27</v>
      </c>
      <c r="F105" s="5" t="s">
        <v>31</v>
      </c>
      <c r="G105" s="5">
        <v>26</v>
      </c>
      <c r="H105" s="5">
        <v>1869</v>
      </c>
      <c r="I105" s="9">
        <f t="shared" si="1"/>
        <v>48594</v>
      </c>
    </row>
    <row r="106" spans="1:9" x14ac:dyDescent="0.3">
      <c r="A106" s="6">
        <v>45804</v>
      </c>
      <c r="B106" s="7">
        <v>45804</v>
      </c>
      <c r="C106" s="5" t="s">
        <v>11</v>
      </c>
      <c r="D106" s="5" t="s">
        <v>20</v>
      </c>
      <c r="E106" s="5" t="s">
        <v>24</v>
      </c>
      <c r="F106" s="5" t="s">
        <v>31</v>
      </c>
      <c r="G106" s="5">
        <v>17</v>
      </c>
      <c r="H106" s="5">
        <v>2826</v>
      </c>
      <c r="I106" s="9">
        <f t="shared" si="1"/>
        <v>48042</v>
      </c>
    </row>
    <row r="107" spans="1:9" x14ac:dyDescent="0.3">
      <c r="A107" s="6">
        <v>45701</v>
      </c>
      <c r="B107" s="7">
        <v>45701</v>
      </c>
      <c r="C107" s="5" t="s">
        <v>8</v>
      </c>
      <c r="D107" s="5" t="s">
        <v>12</v>
      </c>
      <c r="E107" s="5" t="s">
        <v>49</v>
      </c>
      <c r="F107" s="5" t="s">
        <v>33</v>
      </c>
      <c r="G107" s="5">
        <v>20</v>
      </c>
      <c r="H107" s="5">
        <v>12742</v>
      </c>
      <c r="I107" s="9">
        <f t="shared" si="1"/>
        <v>254840</v>
      </c>
    </row>
    <row r="108" spans="1:9" x14ac:dyDescent="0.3">
      <c r="A108" s="6">
        <v>45693</v>
      </c>
      <c r="B108" s="7">
        <v>45693</v>
      </c>
      <c r="C108" s="5" t="s">
        <v>11</v>
      </c>
      <c r="D108" s="5" t="s">
        <v>20</v>
      </c>
      <c r="E108" s="5" t="s">
        <v>24</v>
      </c>
      <c r="F108" s="5" t="s">
        <v>33</v>
      </c>
      <c r="G108" s="5">
        <v>18</v>
      </c>
      <c r="H108" s="5">
        <v>12629</v>
      </c>
      <c r="I108" s="9">
        <f t="shared" si="1"/>
        <v>227322</v>
      </c>
    </row>
    <row r="109" spans="1:9" x14ac:dyDescent="0.3">
      <c r="A109" s="6">
        <v>45798</v>
      </c>
      <c r="B109" s="7">
        <v>45798</v>
      </c>
      <c r="C109" s="5" t="s">
        <v>11</v>
      </c>
      <c r="D109" s="5" t="s">
        <v>22</v>
      </c>
      <c r="E109" s="5" t="s">
        <v>59</v>
      </c>
      <c r="F109" s="5" t="s">
        <v>29</v>
      </c>
      <c r="G109" s="5">
        <v>49</v>
      </c>
      <c r="H109" s="5">
        <v>55000</v>
      </c>
      <c r="I109" s="9">
        <f t="shared" si="1"/>
        <v>2695000</v>
      </c>
    </row>
    <row r="110" spans="1:9" x14ac:dyDescent="0.3">
      <c r="A110" s="6">
        <v>45666</v>
      </c>
      <c r="B110" s="7">
        <v>45666</v>
      </c>
      <c r="C110" s="5" t="s">
        <v>8</v>
      </c>
      <c r="D110" s="5" t="s">
        <v>15</v>
      </c>
      <c r="E110" s="5" t="s">
        <v>53</v>
      </c>
      <c r="F110" s="5" t="s">
        <v>29</v>
      </c>
      <c r="G110" s="5">
        <v>5</v>
      </c>
      <c r="H110" s="5">
        <v>53507</v>
      </c>
      <c r="I110" s="9">
        <f t="shared" si="1"/>
        <v>267535</v>
      </c>
    </row>
    <row r="111" spans="1:9" x14ac:dyDescent="0.3">
      <c r="A111" s="6">
        <v>45730</v>
      </c>
      <c r="B111" s="7">
        <v>45730</v>
      </c>
      <c r="C111" s="5" t="s">
        <v>10</v>
      </c>
      <c r="D111" s="5" t="s">
        <v>18</v>
      </c>
      <c r="E111" s="5" t="s">
        <v>27</v>
      </c>
      <c r="F111" s="5" t="s">
        <v>29</v>
      </c>
      <c r="G111" s="5">
        <v>50</v>
      </c>
      <c r="H111" s="5">
        <v>55209</v>
      </c>
      <c r="I111" s="9">
        <f t="shared" si="1"/>
        <v>2760450</v>
      </c>
    </row>
    <row r="112" spans="1:9" x14ac:dyDescent="0.3">
      <c r="A112" s="6">
        <v>45706</v>
      </c>
      <c r="B112" s="7">
        <v>45706</v>
      </c>
      <c r="C112" s="5" t="s">
        <v>10</v>
      </c>
      <c r="D112" s="5" t="s">
        <v>17</v>
      </c>
      <c r="E112" s="5" t="s">
        <v>44</v>
      </c>
      <c r="F112" s="5" t="s">
        <v>30</v>
      </c>
      <c r="G112" s="5">
        <v>41</v>
      </c>
      <c r="H112" s="5">
        <v>16281</v>
      </c>
      <c r="I112" s="9">
        <f t="shared" si="1"/>
        <v>667521</v>
      </c>
    </row>
    <row r="113" spans="1:9" x14ac:dyDescent="0.3">
      <c r="A113" s="6">
        <v>45807</v>
      </c>
      <c r="B113" s="7">
        <v>45807</v>
      </c>
      <c r="C113" s="5" t="s">
        <v>9</v>
      </c>
      <c r="D113" s="5" t="s">
        <v>23</v>
      </c>
      <c r="E113" s="5" t="s">
        <v>60</v>
      </c>
      <c r="F113" s="5" t="s">
        <v>29</v>
      </c>
      <c r="G113" s="5">
        <v>20</v>
      </c>
      <c r="H113" s="5">
        <v>53483</v>
      </c>
      <c r="I113" s="9">
        <f t="shared" si="1"/>
        <v>1069660</v>
      </c>
    </row>
    <row r="114" spans="1:9" x14ac:dyDescent="0.3">
      <c r="A114" s="6">
        <v>45720</v>
      </c>
      <c r="B114" s="7">
        <v>45720</v>
      </c>
      <c r="C114" s="5" t="s">
        <v>10</v>
      </c>
      <c r="D114" s="5" t="s">
        <v>16</v>
      </c>
      <c r="E114" s="5" t="s">
        <v>47</v>
      </c>
      <c r="F114" s="5" t="s">
        <v>29</v>
      </c>
      <c r="G114" s="5">
        <v>35</v>
      </c>
      <c r="H114" s="5">
        <v>56726</v>
      </c>
      <c r="I114" s="9">
        <f t="shared" si="1"/>
        <v>1985410</v>
      </c>
    </row>
    <row r="115" spans="1:9" x14ac:dyDescent="0.3">
      <c r="A115" s="6">
        <v>45765</v>
      </c>
      <c r="B115" s="7">
        <v>45765</v>
      </c>
      <c r="C115" s="5" t="s">
        <v>9</v>
      </c>
      <c r="D115" s="5" t="s">
        <v>14</v>
      </c>
      <c r="E115" s="5" t="s">
        <v>26</v>
      </c>
      <c r="F115" s="5" t="s">
        <v>29</v>
      </c>
      <c r="G115" s="5">
        <v>25</v>
      </c>
      <c r="H115" s="5">
        <v>54016</v>
      </c>
      <c r="I115" s="9">
        <f t="shared" si="1"/>
        <v>1350400</v>
      </c>
    </row>
    <row r="116" spans="1:9" x14ac:dyDescent="0.3">
      <c r="A116" s="6">
        <v>45673</v>
      </c>
      <c r="B116" s="7">
        <v>45673</v>
      </c>
      <c r="C116" s="5" t="s">
        <v>10</v>
      </c>
      <c r="D116" s="5" t="s">
        <v>17</v>
      </c>
      <c r="E116" s="5" t="s">
        <v>50</v>
      </c>
      <c r="F116" s="5" t="s">
        <v>33</v>
      </c>
      <c r="G116" s="5">
        <v>24</v>
      </c>
      <c r="H116" s="5">
        <v>12210</v>
      </c>
      <c r="I116" s="9">
        <f t="shared" si="1"/>
        <v>293040</v>
      </c>
    </row>
    <row r="117" spans="1:9" x14ac:dyDescent="0.3">
      <c r="A117" s="6">
        <v>45816</v>
      </c>
      <c r="B117" s="7">
        <v>45816</v>
      </c>
      <c r="C117" s="5" t="s">
        <v>11</v>
      </c>
      <c r="D117" s="5" t="s">
        <v>19</v>
      </c>
      <c r="E117" s="5" t="s">
        <v>51</v>
      </c>
      <c r="F117" s="5" t="s">
        <v>29</v>
      </c>
      <c r="G117" s="5">
        <v>11</v>
      </c>
      <c r="H117" s="5">
        <v>56950</v>
      </c>
      <c r="I117" s="9">
        <f t="shared" si="1"/>
        <v>626450</v>
      </c>
    </row>
    <row r="118" spans="1:9" x14ac:dyDescent="0.3">
      <c r="A118" s="6">
        <v>45681</v>
      </c>
      <c r="B118" s="7">
        <v>45681</v>
      </c>
      <c r="C118" s="5" t="s">
        <v>8</v>
      </c>
      <c r="D118" s="5" t="s">
        <v>21</v>
      </c>
      <c r="E118" s="5" t="s">
        <v>45</v>
      </c>
      <c r="F118" s="5" t="s">
        <v>31</v>
      </c>
      <c r="G118" s="5">
        <v>50</v>
      </c>
      <c r="H118" s="5">
        <v>2193</v>
      </c>
      <c r="I118" s="9">
        <f t="shared" si="1"/>
        <v>109650</v>
      </c>
    </row>
    <row r="119" spans="1:9" x14ac:dyDescent="0.3">
      <c r="A119" s="6">
        <v>45669</v>
      </c>
      <c r="B119" s="7">
        <v>45669</v>
      </c>
      <c r="C119" s="5" t="s">
        <v>10</v>
      </c>
      <c r="D119" s="5" t="s">
        <v>18</v>
      </c>
      <c r="E119" s="5" t="s">
        <v>27</v>
      </c>
      <c r="F119" s="5" t="s">
        <v>29</v>
      </c>
      <c r="G119" s="5">
        <v>11</v>
      </c>
      <c r="H119" s="5">
        <v>56897</v>
      </c>
      <c r="I119" s="9">
        <f t="shared" si="1"/>
        <v>625867</v>
      </c>
    </row>
    <row r="120" spans="1:9" x14ac:dyDescent="0.3">
      <c r="A120" s="6">
        <v>45703</v>
      </c>
      <c r="B120" s="7">
        <v>45703</v>
      </c>
      <c r="C120" s="5" t="s">
        <v>8</v>
      </c>
      <c r="D120" s="5" t="s">
        <v>21</v>
      </c>
      <c r="E120" s="5" t="s">
        <v>45</v>
      </c>
      <c r="F120" s="5" t="s">
        <v>31</v>
      </c>
      <c r="G120" s="5">
        <v>45</v>
      </c>
      <c r="H120" s="5">
        <v>3004</v>
      </c>
      <c r="I120" s="9">
        <f t="shared" si="1"/>
        <v>135180</v>
      </c>
    </row>
    <row r="121" spans="1:9" x14ac:dyDescent="0.3">
      <c r="A121" s="6">
        <v>45693</v>
      </c>
      <c r="B121" s="7">
        <v>45693</v>
      </c>
      <c r="C121" s="5" t="s">
        <v>9</v>
      </c>
      <c r="D121" s="5" t="s">
        <v>23</v>
      </c>
      <c r="E121" s="5" t="s">
        <v>60</v>
      </c>
      <c r="F121" s="5" t="s">
        <v>33</v>
      </c>
      <c r="G121" s="5">
        <v>23</v>
      </c>
      <c r="H121" s="5">
        <v>10587</v>
      </c>
      <c r="I121" s="9">
        <f t="shared" si="1"/>
        <v>243501</v>
      </c>
    </row>
    <row r="122" spans="1:9" x14ac:dyDescent="0.3">
      <c r="A122" s="6">
        <v>45703</v>
      </c>
      <c r="B122" s="7">
        <v>45703</v>
      </c>
      <c r="C122" s="5" t="s">
        <v>10</v>
      </c>
      <c r="D122" s="5" t="s">
        <v>18</v>
      </c>
      <c r="E122" s="5" t="s">
        <v>27</v>
      </c>
      <c r="F122" s="5" t="s">
        <v>30</v>
      </c>
      <c r="G122" s="5">
        <v>29</v>
      </c>
      <c r="H122" s="5">
        <v>19695</v>
      </c>
      <c r="I122" s="9">
        <f t="shared" si="1"/>
        <v>571155</v>
      </c>
    </row>
    <row r="123" spans="1:9" x14ac:dyDescent="0.3">
      <c r="A123" s="6">
        <v>45826</v>
      </c>
      <c r="B123" s="7">
        <v>45826</v>
      </c>
      <c r="C123" s="5" t="s">
        <v>9</v>
      </c>
      <c r="D123" s="5" t="s">
        <v>13</v>
      </c>
      <c r="E123" s="5" t="s">
        <v>57</v>
      </c>
      <c r="F123" s="5" t="s">
        <v>31</v>
      </c>
      <c r="G123" s="5">
        <v>23</v>
      </c>
      <c r="H123" s="5">
        <v>2992</v>
      </c>
      <c r="I123" s="9">
        <f t="shared" si="1"/>
        <v>68816</v>
      </c>
    </row>
    <row r="124" spans="1:9" x14ac:dyDescent="0.3">
      <c r="A124" s="6">
        <v>45825</v>
      </c>
      <c r="B124" s="7">
        <v>45825</v>
      </c>
      <c r="C124" s="5" t="s">
        <v>9</v>
      </c>
      <c r="D124" s="5" t="s">
        <v>13</v>
      </c>
      <c r="E124" s="5" t="s">
        <v>57</v>
      </c>
      <c r="F124" s="5" t="s">
        <v>31</v>
      </c>
      <c r="G124" s="5">
        <v>24</v>
      </c>
      <c r="H124" s="5">
        <v>1298</v>
      </c>
      <c r="I124" s="9">
        <f t="shared" si="1"/>
        <v>31152</v>
      </c>
    </row>
    <row r="125" spans="1:9" x14ac:dyDescent="0.3">
      <c r="A125" s="6">
        <v>45686</v>
      </c>
      <c r="B125" s="7">
        <v>45686</v>
      </c>
      <c r="C125" s="5" t="s">
        <v>10</v>
      </c>
      <c r="D125" s="5" t="s">
        <v>17</v>
      </c>
      <c r="E125" s="5" t="s">
        <v>50</v>
      </c>
      <c r="F125" s="5" t="s">
        <v>32</v>
      </c>
      <c r="G125" s="5">
        <v>17</v>
      </c>
      <c r="H125" s="5">
        <v>22736</v>
      </c>
      <c r="I125" s="9">
        <f t="shared" si="1"/>
        <v>386512</v>
      </c>
    </row>
    <row r="126" spans="1:9" x14ac:dyDescent="0.3">
      <c r="A126" s="6">
        <v>45675</v>
      </c>
      <c r="B126" s="7">
        <v>45675</v>
      </c>
      <c r="C126" s="5" t="s">
        <v>10</v>
      </c>
      <c r="D126" s="5" t="s">
        <v>17</v>
      </c>
      <c r="E126" s="5" t="s">
        <v>50</v>
      </c>
      <c r="F126" s="5" t="s">
        <v>30</v>
      </c>
      <c r="G126" s="5">
        <v>18</v>
      </c>
      <c r="H126" s="5">
        <v>16536</v>
      </c>
      <c r="I126" s="9">
        <f t="shared" si="1"/>
        <v>297648</v>
      </c>
    </row>
    <row r="127" spans="1:9" x14ac:dyDescent="0.3">
      <c r="A127" s="6">
        <v>45686</v>
      </c>
      <c r="B127" s="7">
        <v>45686</v>
      </c>
      <c r="C127" s="5" t="s">
        <v>10</v>
      </c>
      <c r="D127" s="5" t="s">
        <v>18</v>
      </c>
      <c r="E127" s="5" t="s">
        <v>25</v>
      </c>
      <c r="F127" s="5" t="s">
        <v>30</v>
      </c>
      <c r="G127" s="5">
        <v>45</v>
      </c>
      <c r="H127" s="5">
        <v>16257</v>
      </c>
      <c r="I127" s="9">
        <f t="shared" si="1"/>
        <v>731565</v>
      </c>
    </row>
    <row r="128" spans="1:9" x14ac:dyDescent="0.3">
      <c r="A128" s="6">
        <v>45799</v>
      </c>
      <c r="B128" s="7">
        <v>45799</v>
      </c>
      <c r="C128" s="5" t="s">
        <v>11</v>
      </c>
      <c r="D128" s="5" t="s">
        <v>20</v>
      </c>
      <c r="E128" s="5" t="s">
        <v>24</v>
      </c>
      <c r="F128" s="5" t="s">
        <v>31</v>
      </c>
      <c r="G128" s="5">
        <v>43</v>
      </c>
      <c r="H128" s="5">
        <v>3605</v>
      </c>
      <c r="I128" s="9">
        <f t="shared" si="1"/>
        <v>155015</v>
      </c>
    </row>
    <row r="129" spans="1:9" x14ac:dyDescent="0.3">
      <c r="A129" s="6">
        <v>45782</v>
      </c>
      <c r="B129" s="7">
        <v>45782</v>
      </c>
      <c r="C129" s="5" t="s">
        <v>9</v>
      </c>
      <c r="D129" s="5" t="s">
        <v>13</v>
      </c>
      <c r="E129" s="5" t="s">
        <v>57</v>
      </c>
      <c r="F129" s="5" t="s">
        <v>30</v>
      </c>
      <c r="G129" s="5">
        <v>24</v>
      </c>
      <c r="H129" s="5">
        <v>17977</v>
      </c>
      <c r="I129" s="9">
        <f t="shared" si="1"/>
        <v>431448</v>
      </c>
    </row>
    <row r="130" spans="1:9" x14ac:dyDescent="0.3">
      <c r="A130" s="6">
        <v>45752</v>
      </c>
      <c r="B130" s="7">
        <v>45752</v>
      </c>
      <c r="C130" s="5" t="s">
        <v>11</v>
      </c>
      <c r="D130" s="5" t="s">
        <v>19</v>
      </c>
      <c r="E130" s="5" t="s">
        <v>51</v>
      </c>
      <c r="F130" s="5" t="s">
        <v>29</v>
      </c>
      <c r="G130" s="5">
        <v>15</v>
      </c>
      <c r="H130" s="5">
        <v>56466</v>
      </c>
      <c r="I130" s="9">
        <f t="shared" si="1"/>
        <v>846990</v>
      </c>
    </row>
    <row r="131" spans="1:9" x14ac:dyDescent="0.3">
      <c r="A131" s="6">
        <v>45691</v>
      </c>
      <c r="B131" s="7">
        <v>45691</v>
      </c>
      <c r="C131" s="5" t="s">
        <v>9</v>
      </c>
      <c r="D131" s="5" t="s">
        <v>14</v>
      </c>
      <c r="E131" s="5" t="s">
        <v>26</v>
      </c>
      <c r="F131" s="5" t="s">
        <v>32</v>
      </c>
      <c r="G131" s="5">
        <v>14</v>
      </c>
      <c r="H131" s="5">
        <v>22541</v>
      </c>
      <c r="I131" s="9">
        <f t="shared" ref="I131:I194" si="2">H131*G131</f>
        <v>315574</v>
      </c>
    </row>
    <row r="132" spans="1:9" x14ac:dyDescent="0.3">
      <c r="A132" s="6">
        <v>45796</v>
      </c>
      <c r="B132" s="7">
        <v>45796</v>
      </c>
      <c r="C132" s="5" t="s">
        <v>9</v>
      </c>
      <c r="D132" s="5" t="s">
        <v>23</v>
      </c>
      <c r="E132" s="5" t="s">
        <v>60</v>
      </c>
      <c r="F132" s="5" t="s">
        <v>32</v>
      </c>
      <c r="G132" s="5">
        <v>30</v>
      </c>
      <c r="H132" s="5">
        <v>22308</v>
      </c>
      <c r="I132" s="9">
        <f t="shared" si="2"/>
        <v>669240</v>
      </c>
    </row>
    <row r="133" spans="1:9" x14ac:dyDescent="0.3">
      <c r="A133" s="6">
        <v>45673</v>
      </c>
      <c r="B133" s="7">
        <v>45673</v>
      </c>
      <c r="C133" s="5" t="s">
        <v>8</v>
      </c>
      <c r="D133" s="5" t="s">
        <v>15</v>
      </c>
      <c r="E133" s="5" t="s">
        <v>54</v>
      </c>
      <c r="F133" s="5" t="s">
        <v>32</v>
      </c>
      <c r="G133" s="5">
        <v>28</v>
      </c>
      <c r="H133" s="5">
        <v>22056</v>
      </c>
      <c r="I133" s="9">
        <f t="shared" si="2"/>
        <v>617568</v>
      </c>
    </row>
    <row r="134" spans="1:9" x14ac:dyDescent="0.3">
      <c r="A134" s="6">
        <v>45755</v>
      </c>
      <c r="B134" s="7">
        <v>45755</v>
      </c>
      <c r="C134" s="5" t="s">
        <v>8</v>
      </c>
      <c r="D134" s="5" t="s">
        <v>12</v>
      </c>
      <c r="E134" s="5" t="s">
        <v>49</v>
      </c>
      <c r="F134" s="5" t="s">
        <v>30</v>
      </c>
      <c r="G134" s="5">
        <v>9</v>
      </c>
      <c r="H134" s="5">
        <v>17808</v>
      </c>
      <c r="I134" s="9">
        <f t="shared" si="2"/>
        <v>160272</v>
      </c>
    </row>
    <row r="135" spans="1:9" x14ac:dyDescent="0.3">
      <c r="A135" s="6">
        <v>45731</v>
      </c>
      <c r="B135" s="7">
        <v>45731</v>
      </c>
      <c r="C135" s="5" t="s">
        <v>8</v>
      </c>
      <c r="D135" s="5" t="s">
        <v>15</v>
      </c>
      <c r="E135" s="5" t="s">
        <v>54</v>
      </c>
      <c r="F135" s="5" t="s">
        <v>33</v>
      </c>
      <c r="G135" s="5">
        <v>38</v>
      </c>
      <c r="H135" s="5">
        <v>10128</v>
      </c>
      <c r="I135" s="9">
        <f t="shared" si="2"/>
        <v>384864</v>
      </c>
    </row>
    <row r="136" spans="1:9" x14ac:dyDescent="0.3">
      <c r="A136" s="6">
        <v>45822</v>
      </c>
      <c r="B136" s="7">
        <v>45822</v>
      </c>
      <c r="C136" s="5" t="s">
        <v>11</v>
      </c>
      <c r="D136" s="5" t="s">
        <v>19</v>
      </c>
      <c r="E136" s="5" t="s">
        <v>51</v>
      </c>
      <c r="F136" s="5" t="s">
        <v>29</v>
      </c>
      <c r="G136" s="5">
        <v>15</v>
      </c>
      <c r="H136" s="5">
        <v>54060</v>
      </c>
      <c r="I136" s="9">
        <f t="shared" si="2"/>
        <v>810900</v>
      </c>
    </row>
    <row r="137" spans="1:9" x14ac:dyDescent="0.3">
      <c r="A137" s="6">
        <v>45742</v>
      </c>
      <c r="B137" s="7">
        <v>45742</v>
      </c>
      <c r="C137" s="5" t="s">
        <v>9</v>
      </c>
      <c r="D137" s="5" t="s">
        <v>13</v>
      </c>
      <c r="E137" s="5" t="s">
        <v>57</v>
      </c>
      <c r="F137" s="5" t="s">
        <v>29</v>
      </c>
      <c r="G137" s="5">
        <v>49</v>
      </c>
      <c r="H137" s="5">
        <v>53338</v>
      </c>
      <c r="I137" s="9">
        <f t="shared" si="2"/>
        <v>2613562</v>
      </c>
    </row>
    <row r="138" spans="1:9" x14ac:dyDescent="0.3">
      <c r="A138" s="6">
        <v>45681</v>
      </c>
      <c r="B138" s="7">
        <v>45681</v>
      </c>
      <c r="C138" s="5" t="s">
        <v>9</v>
      </c>
      <c r="D138" s="5" t="s">
        <v>13</v>
      </c>
      <c r="E138" s="5" t="s">
        <v>57</v>
      </c>
      <c r="F138" s="5" t="s">
        <v>30</v>
      </c>
      <c r="G138" s="5">
        <v>28</v>
      </c>
      <c r="H138" s="5">
        <v>17790</v>
      </c>
      <c r="I138" s="9">
        <f t="shared" si="2"/>
        <v>498120</v>
      </c>
    </row>
    <row r="139" spans="1:9" x14ac:dyDescent="0.3">
      <c r="A139" s="6">
        <v>45661</v>
      </c>
      <c r="B139" s="7">
        <v>45661</v>
      </c>
      <c r="C139" s="5" t="s">
        <v>9</v>
      </c>
      <c r="D139" s="5" t="s">
        <v>13</v>
      </c>
      <c r="E139" s="5" t="s">
        <v>57</v>
      </c>
      <c r="F139" s="5" t="s">
        <v>31</v>
      </c>
      <c r="G139" s="5">
        <v>25</v>
      </c>
      <c r="H139" s="5">
        <v>1971</v>
      </c>
      <c r="I139" s="9">
        <f t="shared" si="2"/>
        <v>49275</v>
      </c>
    </row>
    <row r="140" spans="1:9" x14ac:dyDescent="0.3">
      <c r="A140" s="6">
        <v>45742</v>
      </c>
      <c r="B140" s="7">
        <v>45742</v>
      </c>
      <c r="C140" s="5" t="s">
        <v>8</v>
      </c>
      <c r="D140" s="5" t="s">
        <v>15</v>
      </c>
      <c r="E140" s="5" t="s">
        <v>54</v>
      </c>
      <c r="F140" s="5" t="s">
        <v>33</v>
      </c>
      <c r="G140" s="5">
        <v>47</v>
      </c>
      <c r="H140" s="5">
        <v>10205</v>
      </c>
      <c r="I140" s="9">
        <f t="shared" si="2"/>
        <v>479635</v>
      </c>
    </row>
    <row r="141" spans="1:9" x14ac:dyDescent="0.3">
      <c r="A141" s="6">
        <v>45807</v>
      </c>
      <c r="B141" s="7">
        <v>45807</v>
      </c>
      <c r="C141" s="5" t="s">
        <v>10</v>
      </c>
      <c r="D141" s="5" t="s">
        <v>17</v>
      </c>
      <c r="E141" s="5" t="s">
        <v>50</v>
      </c>
      <c r="F141" s="5" t="s">
        <v>32</v>
      </c>
      <c r="G141" s="5">
        <v>5</v>
      </c>
      <c r="H141" s="5">
        <v>23950</v>
      </c>
      <c r="I141" s="9">
        <f t="shared" si="2"/>
        <v>119750</v>
      </c>
    </row>
    <row r="142" spans="1:9" x14ac:dyDescent="0.3">
      <c r="A142" s="6">
        <v>45763</v>
      </c>
      <c r="B142" s="7">
        <v>45763</v>
      </c>
      <c r="C142" s="5" t="s">
        <v>10</v>
      </c>
      <c r="D142" s="5" t="s">
        <v>18</v>
      </c>
      <c r="E142" s="5" t="s">
        <v>25</v>
      </c>
      <c r="F142" s="5" t="s">
        <v>30</v>
      </c>
      <c r="G142" s="5">
        <v>29</v>
      </c>
      <c r="H142" s="5">
        <v>16382</v>
      </c>
      <c r="I142" s="9">
        <f t="shared" si="2"/>
        <v>475078</v>
      </c>
    </row>
    <row r="143" spans="1:9" x14ac:dyDescent="0.3">
      <c r="A143" s="6">
        <v>45688</v>
      </c>
      <c r="B143" s="7">
        <v>45688</v>
      </c>
      <c r="C143" s="5" t="s">
        <v>11</v>
      </c>
      <c r="D143" s="5" t="s">
        <v>19</v>
      </c>
      <c r="E143" s="5" t="s">
        <v>51</v>
      </c>
      <c r="F143" s="5" t="s">
        <v>31</v>
      </c>
      <c r="G143" s="5">
        <v>31</v>
      </c>
      <c r="H143" s="5">
        <v>1856</v>
      </c>
      <c r="I143" s="9">
        <f t="shared" si="2"/>
        <v>57536</v>
      </c>
    </row>
    <row r="144" spans="1:9" x14ac:dyDescent="0.3">
      <c r="A144" s="6">
        <v>45668</v>
      </c>
      <c r="B144" s="7">
        <v>45668</v>
      </c>
      <c r="C144" s="5" t="s">
        <v>11</v>
      </c>
      <c r="D144" s="5" t="s">
        <v>19</v>
      </c>
      <c r="E144" s="5" t="s">
        <v>52</v>
      </c>
      <c r="F144" s="5" t="s">
        <v>29</v>
      </c>
      <c r="G144" s="5">
        <v>14</v>
      </c>
      <c r="H144" s="5">
        <v>54450</v>
      </c>
      <c r="I144" s="9">
        <f t="shared" si="2"/>
        <v>762300</v>
      </c>
    </row>
    <row r="145" spans="1:9" x14ac:dyDescent="0.3">
      <c r="A145" s="6">
        <v>45744</v>
      </c>
      <c r="B145" s="7">
        <v>45744</v>
      </c>
      <c r="C145" s="5" t="s">
        <v>11</v>
      </c>
      <c r="D145" s="5" t="s">
        <v>20</v>
      </c>
      <c r="E145" s="5" t="s">
        <v>24</v>
      </c>
      <c r="F145" s="5" t="s">
        <v>31</v>
      </c>
      <c r="G145" s="5">
        <v>41</v>
      </c>
      <c r="H145" s="5">
        <v>1083</v>
      </c>
      <c r="I145" s="9">
        <f t="shared" si="2"/>
        <v>44403</v>
      </c>
    </row>
    <row r="146" spans="1:9" x14ac:dyDescent="0.3">
      <c r="A146" s="6">
        <v>45676</v>
      </c>
      <c r="B146" s="7">
        <v>45676</v>
      </c>
      <c r="C146" s="5" t="s">
        <v>11</v>
      </c>
      <c r="D146" s="5" t="s">
        <v>19</v>
      </c>
      <c r="E146" s="5" t="s">
        <v>52</v>
      </c>
      <c r="F146" s="5" t="s">
        <v>32</v>
      </c>
      <c r="G146" s="5">
        <v>27</v>
      </c>
      <c r="H146" s="5">
        <v>22915</v>
      </c>
      <c r="I146" s="9">
        <f t="shared" si="2"/>
        <v>618705</v>
      </c>
    </row>
    <row r="147" spans="1:9" x14ac:dyDescent="0.3">
      <c r="A147" s="6">
        <v>45730</v>
      </c>
      <c r="B147" s="7">
        <v>45730</v>
      </c>
      <c r="C147" s="5" t="s">
        <v>9</v>
      </c>
      <c r="D147" s="5" t="s">
        <v>23</v>
      </c>
      <c r="E147" s="5" t="s">
        <v>60</v>
      </c>
      <c r="F147" s="5" t="s">
        <v>31</v>
      </c>
      <c r="G147" s="5">
        <v>10</v>
      </c>
      <c r="H147" s="5">
        <v>2645</v>
      </c>
      <c r="I147" s="9">
        <f t="shared" si="2"/>
        <v>26450</v>
      </c>
    </row>
    <row r="148" spans="1:9" x14ac:dyDescent="0.3">
      <c r="A148" s="6">
        <v>45674</v>
      </c>
      <c r="B148" s="7">
        <v>45674</v>
      </c>
      <c r="C148" s="5" t="s">
        <v>9</v>
      </c>
      <c r="D148" s="5" t="s">
        <v>23</v>
      </c>
      <c r="E148" s="5" t="s">
        <v>60</v>
      </c>
      <c r="F148" s="5" t="s">
        <v>33</v>
      </c>
      <c r="G148" s="5">
        <v>50</v>
      </c>
      <c r="H148" s="5">
        <v>11448</v>
      </c>
      <c r="I148" s="9">
        <f t="shared" si="2"/>
        <v>572400</v>
      </c>
    </row>
    <row r="149" spans="1:9" x14ac:dyDescent="0.3">
      <c r="A149" s="6">
        <v>45781</v>
      </c>
      <c r="B149" s="7">
        <v>45781</v>
      </c>
      <c r="C149" s="5" t="s">
        <v>11</v>
      </c>
      <c r="D149" s="5" t="s">
        <v>20</v>
      </c>
      <c r="E149" s="5" t="s">
        <v>24</v>
      </c>
      <c r="F149" s="5" t="s">
        <v>29</v>
      </c>
      <c r="G149" s="5">
        <v>49</v>
      </c>
      <c r="H149" s="5">
        <v>56055</v>
      </c>
      <c r="I149" s="9">
        <f t="shared" si="2"/>
        <v>2746695</v>
      </c>
    </row>
    <row r="150" spans="1:9" x14ac:dyDescent="0.3">
      <c r="A150" s="6">
        <v>45814</v>
      </c>
      <c r="B150" s="7">
        <v>45814</v>
      </c>
      <c r="C150" s="5" t="s">
        <v>11</v>
      </c>
      <c r="D150" s="5" t="s">
        <v>22</v>
      </c>
      <c r="E150" s="5" t="s">
        <v>59</v>
      </c>
      <c r="F150" s="5" t="s">
        <v>30</v>
      </c>
      <c r="G150" s="5">
        <v>47</v>
      </c>
      <c r="H150" s="5">
        <v>17794</v>
      </c>
      <c r="I150" s="9">
        <f t="shared" si="2"/>
        <v>836318</v>
      </c>
    </row>
    <row r="151" spans="1:9" x14ac:dyDescent="0.3">
      <c r="A151" s="6">
        <v>45779</v>
      </c>
      <c r="B151" s="7">
        <v>45779</v>
      </c>
      <c r="C151" s="5" t="s">
        <v>8</v>
      </c>
      <c r="D151" s="5" t="s">
        <v>15</v>
      </c>
      <c r="E151" s="5" t="s">
        <v>54</v>
      </c>
      <c r="F151" s="5" t="s">
        <v>32</v>
      </c>
      <c r="G151" s="5">
        <v>22</v>
      </c>
      <c r="H151" s="5">
        <v>23173</v>
      </c>
      <c r="I151" s="9">
        <f t="shared" si="2"/>
        <v>509806</v>
      </c>
    </row>
    <row r="152" spans="1:9" x14ac:dyDescent="0.3">
      <c r="A152" s="6">
        <v>45773</v>
      </c>
      <c r="B152" s="7">
        <v>45773</v>
      </c>
      <c r="C152" s="5" t="s">
        <v>10</v>
      </c>
      <c r="D152" s="5" t="s">
        <v>16</v>
      </c>
      <c r="E152" s="5" t="s">
        <v>47</v>
      </c>
      <c r="F152" s="5" t="s">
        <v>29</v>
      </c>
      <c r="G152" s="5">
        <v>15</v>
      </c>
      <c r="H152" s="5">
        <v>54165</v>
      </c>
      <c r="I152" s="9">
        <f t="shared" si="2"/>
        <v>812475</v>
      </c>
    </row>
    <row r="153" spans="1:9" x14ac:dyDescent="0.3">
      <c r="A153" s="6">
        <v>45734</v>
      </c>
      <c r="B153" s="7">
        <v>45734</v>
      </c>
      <c r="C153" s="5" t="s">
        <v>8</v>
      </c>
      <c r="D153" s="5" t="s">
        <v>12</v>
      </c>
      <c r="E153" s="5" t="s">
        <v>49</v>
      </c>
      <c r="F153" s="5" t="s">
        <v>33</v>
      </c>
      <c r="G153" s="5">
        <v>43</v>
      </c>
      <c r="H153" s="5">
        <v>12002</v>
      </c>
      <c r="I153" s="9">
        <f t="shared" si="2"/>
        <v>516086</v>
      </c>
    </row>
    <row r="154" spans="1:9" x14ac:dyDescent="0.3">
      <c r="A154" s="6">
        <v>45832</v>
      </c>
      <c r="B154" s="7">
        <v>45832</v>
      </c>
      <c r="C154" s="5" t="s">
        <v>8</v>
      </c>
      <c r="D154" s="5" t="s">
        <v>12</v>
      </c>
      <c r="E154" s="5" t="s">
        <v>49</v>
      </c>
      <c r="F154" s="5" t="s">
        <v>31</v>
      </c>
      <c r="G154" s="5">
        <v>35</v>
      </c>
      <c r="H154" s="5">
        <v>4337</v>
      </c>
      <c r="I154" s="9">
        <f t="shared" si="2"/>
        <v>151795</v>
      </c>
    </row>
    <row r="155" spans="1:9" x14ac:dyDescent="0.3">
      <c r="A155" s="6">
        <v>45741</v>
      </c>
      <c r="B155" s="7">
        <v>45741</v>
      </c>
      <c r="C155" s="5" t="s">
        <v>9</v>
      </c>
      <c r="D155" s="5" t="s">
        <v>13</v>
      </c>
      <c r="E155" s="5" t="s">
        <v>57</v>
      </c>
      <c r="F155" s="5" t="s">
        <v>32</v>
      </c>
      <c r="G155" s="5">
        <v>34</v>
      </c>
      <c r="H155" s="5">
        <v>23677</v>
      </c>
      <c r="I155" s="9">
        <f t="shared" si="2"/>
        <v>805018</v>
      </c>
    </row>
    <row r="156" spans="1:9" x14ac:dyDescent="0.3">
      <c r="A156" s="6">
        <v>45760</v>
      </c>
      <c r="B156" s="7">
        <v>45760</v>
      </c>
      <c r="C156" s="5" t="s">
        <v>8</v>
      </c>
      <c r="D156" s="5" t="s">
        <v>15</v>
      </c>
      <c r="E156" s="5" t="s">
        <v>54</v>
      </c>
      <c r="F156" s="5" t="s">
        <v>33</v>
      </c>
      <c r="G156" s="5">
        <v>10</v>
      </c>
      <c r="H156" s="5">
        <v>10645</v>
      </c>
      <c r="I156" s="9">
        <f t="shared" si="2"/>
        <v>106450</v>
      </c>
    </row>
    <row r="157" spans="1:9" x14ac:dyDescent="0.3">
      <c r="A157" s="6">
        <v>45755</v>
      </c>
      <c r="B157" s="7">
        <v>45755</v>
      </c>
      <c r="C157" s="5" t="s">
        <v>10</v>
      </c>
      <c r="D157" s="5" t="s">
        <v>16</v>
      </c>
      <c r="E157" s="5" t="s">
        <v>47</v>
      </c>
      <c r="F157" s="5" t="s">
        <v>32</v>
      </c>
      <c r="G157" s="5">
        <v>29</v>
      </c>
      <c r="H157" s="5">
        <v>23422</v>
      </c>
      <c r="I157" s="9">
        <f t="shared" si="2"/>
        <v>679238</v>
      </c>
    </row>
    <row r="158" spans="1:9" x14ac:dyDescent="0.3">
      <c r="A158" s="6">
        <v>45671</v>
      </c>
      <c r="B158" s="7">
        <v>45671</v>
      </c>
      <c r="C158" s="5" t="s">
        <v>10</v>
      </c>
      <c r="D158" s="5" t="s">
        <v>16</v>
      </c>
      <c r="E158" s="5" t="s">
        <v>47</v>
      </c>
      <c r="F158" s="5" t="s">
        <v>31</v>
      </c>
      <c r="G158" s="5">
        <v>15</v>
      </c>
      <c r="H158" s="5">
        <v>4123</v>
      </c>
      <c r="I158" s="9">
        <f t="shared" si="2"/>
        <v>61845</v>
      </c>
    </row>
    <row r="159" spans="1:9" x14ac:dyDescent="0.3">
      <c r="A159" s="6">
        <v>45837</v>
      </c>
      <c r="B159" s="7">
        <v>45837</v>
      </c>
      <c r="C159" s="5" t="s">
        <v>8</v>
      </c>
      <c r="D159" s="5" t="s">
        <v>15</v>
      </c>
      <c r="E159" s="5" t="s">
        <v>54</v>
      </c>
      <c r="F159" s="5" t="s">
        <v>32</v>
      </c>
      <c r="G159" s="5">
        <v>37</v>
      </c>
      <c r="H159" s="5">
        <v>22448</v>
      </c>
      <c r="I159" s="9">
        <f t="shared" si="2"/>
        <v>830576</v>
      </c>
    </row>
    <row r="160" spans="1:9" x14ac:dyDescent="0.3">
      <c r="A160" s="6">
        <v>45710</v>
      </c>
      <c r="B160" s="7">
        <v>45710</v>
      </c>
      <c r="C160" s="5" t="s">
        <v>11</v>
      </c>
      <c r="D160" s="5" t="s">
        <v>22</v>
      </c>
      <c r="E160" s="5" t="s">
        <v>59</v>
      </c>
      <c r="F160" s="5" t="s">
        <v>29</v>
      </c>
      <c r="G160" s="5">
        <v>46</v>
      </c>
      <c r="H160" s="5">
        <v>53818</v>
      </c>
      <c r="I160" s="9">
        <f t="shared" si="2"/>
        <v>2475628</v>
      </c>
    </row>
    <row r="161" spans="1:9" x14ac:dyDescent="0.3">
      <c r="A161" s="6">
        <v>45745</v>
      </c>
      <c r="B161" s="7">
        <v>45745</v>
      </c>
      <c r="C161" s="5" t="s">
        <v>11</v>
      </c>
      <c r="D161" s="5" t="s">
        <v>22</v>
      </c>
      <c r="E161" s="5" t="s">
        <v>59</v>
      </c>
      <c r="F161" s="5" t="s">
        <v>33</v>
      </c>
      <c r="G161" s="5">
        <v>16</v>
      </c>
      <c r="H161" s="5">
        <v>11470</v>
      </c>
      <c r="I161" s="9">
        <f t="shared" si="2"/>
        <v>183520</v>
      </c>
    </row>
    <row r="162" spans="1:9" x14ac:dyDescent="0.3">
      <c r="A162" s="6">
        <v>45720</v>
      </c>
      <c r="B162" s="7">
        <v>45720</v>
      </c>
      <c r="C162" s="5" t="s">
        <v>9</v>
      </c>
      <c r="D162" s="5" t="s">
        <v>13</v>
      </c>
      <c r="E162" s="5" t="s">
        <v>57</v>
      </c>
      <c r="F162" s="5" t="s">
        <v>32</v>
      </c>
      <c r="G162" s="5">
        <v>49</v>
      </c>
      <c r="H162" s="5">
        <v>22707</v>
      </c>
      <c r="I162" s="9">
        <f t="shared" si="2"/>
        <v>1112643</v>
      </c>
    </row>
    <row r="163" spans="1:9" x14ac:dyDescent="0.3">
      <c r="A163" s="6">
        <v>45807</v>
      </c>
      <c r="B163" s="7">
        <v>45807</v>
      </c>
      <c r="C163" s="5" t="s">
        <v>9</v>
      </c>
      <c r="D163" s="5" t="s">
        <v>13</v>
      </c>
      <c r="E163" s="5" t="s">
        <v>57</v>
      </c>
      <c r="F163" s="5" t="s">
        <v>33</v>
      </c>
      <c r="G163" s="5">
        <v>36</v>
      </c>
      <c r="H163" s="5">
        <v>13486</v>
      </c>
      <c r="I163" s="9">
        <f t="shared" si="2"/>
        <v>485496</v>
      </c>
    </row>
    <row r="164" spans="1:9" x14ac:dyDescent="0.3">
      <c r="A164" s="6">
        <v>45772</v>
      </c>
      <c r="B164" s="7">
        <v>45772</v>
      </c>
      <c r="C164" s="5" t="s">
        <v>8</v>
      </c>
      <c r="D164" s="5" t="s">
        <v>12</v>
      </c>
      <c r="E164" s="5" t="s">
        <v>49</v>
      </c>
      <c r="F164" s="5" t="s">
        <v>31</v>
      </c>
      <c r="G164" s="5">
        <v>13</v>
      </c>
      <c r="H164" s="5">
        <v>1337</v>
      </c>
      <c r="I164" s="9">
        <f t="shared" si="2"/>
        <v>17381</v>
      </c>
    </row>
    <row r="165" spans="1:9" x14ac:dyDescent="0.3">
      <c r="A165" s="6">
        <v>45821</v>
      </c>
      <c r="B165" s="7">
        <v>45821</v>
      </c>
      <c r="C165" s="5" t="s">
        <v>8</v>
      </c>
      <c r="D165" s="5" t="s">
        <v>12</v>
      </c>
      <c r="E165" s="5" t="s">
        <v>49</v>
      </c>
      <c r="F165" s="5" t="s">
        <v>30</v>
      </c>
      <c r="G165" s="5">
        <v>9</v>
      </c>
      <c r="H165" s="5">
        <v>17540</v>
      </c>
      <c r="I165" s="9">
        <f t="shared" si="2"/>
        <v>157860</v>
      </c>
    </row>
    <row r="166" spans="1:9" x14ac:dyDescent="0.3">
      <c r="A166" s="6">
        <v>45687</v>
      </c>
      <c r="B166" s="7">
        <v>45687</v>
      </c>
      <c r="C166" s="5" t="s">
        <v>11</v>
      </c>
      <c r="D166" s="5" t="s">
        <v>19</v>
      </c>
      <c r="E166" s="5" t="s">
        <v>52</v>
      </c>
      <c r="F166" s="5" t="s">
        <v>32</v>
      </c>
      <c r="G166" s="5">
        <v>43</v>
      </c>
      <c r="H166" s="5">
        <v>21014</v>
      </c>
      <c r="I166" s="9">
        <f t="shared" si="2"/>
        <v>903602</v>
      </c>
    </row>
    <row r="167" spans="1:9" x14ac:dyDescent="0.3">
      <c r="A167" s="6">
        <v>45753</v>
      </c>
      <c r="B167" s="7">
        <v>45753</v>
      </c>
      <c r="C167" s="5" t="s">
        <v>11</v>
      </c>
      <c r="D167" s="5" t="s">
        <v>19</v>
      </c>
      <c r="E167" s="5" t="s">
        <v>52</v>
      </c>
      <c r="F167" s="5" t="s">
        <v>32</v>
      </c>
      <c r="G167" s="5">
        <v>17</v>
      </c>
      <c r="H167" s="5">
        <v>20635</v>
      </c>
      <c r="I167" s="9">
        <f t="shared" si="2"/>
        <v>350795</v>
      </c>
    </row>
    <row r="168" spans="1:9" x14ac:dyDescent="0.3">
      <c r="A168" s="6">
        <v>45772</v>
      </c>
      <c r="B168" s="7">
        <v>45772</v>
      </c>
      <c r="C168" s="5" t="s">
        <v>11</v>
      </c>
      <c r="D168" s="5" t="s">
        <v>19</v>
      </c>
      <c r="E168" s="5" t="s">
        <v>52</v>
      </c>
      <c r="F168" s="5" t="s">
        <v>32</v>
      </c>
      <c r="G168" s="5">
        <v>11</v>
      </c>
      <c r="H168" s="5">
        <v>22781</v>
      </c>
      <c r="I168" s="9">
        <f t="shared" si="2"/>
        <v>250591</v>
      </c>
    </row>
    <row r="169" spans="1:9" x14ac:dyDescent="0.3">
      <c r="A169" s="6">
        <v>45762</v>
      </c>
      <c r="B169" s="7">
        <v>45762</v>
      </c>
      <c r="C169" s="5" t="s">
        <v>8</v>
      </c>
      <c r="D169" s="5" t="s">
        <v>21</v>
      </c>
      <c r="E169" s="5" t="s">
        <v>45</v>
      </c>
      <c r="F169" s="5" t="s">
        <v>30</v>
      </c>
      <c r="G169" s="5">
        <v>28</v>
      </c>
      <c r="H169" s="5">
        <v>16360</v>
      </c>
      <c r="I169" s="9">
        <f t="shared" si="2"/>
        <v>458080</v>
      </c>
    </row>
    <row r="170" spans="1:9" x14ac:dyDescent="0.3">
      <c r="A170" s="6">
        <v>45768</v>
      </c>
      <c r="B170" s="7">
        <v>45768</v>
      </c>
      <c r="C170" s="5" t="s">
        <v>11</v>
      </c>
      <c r="D170" s="5" t="s">
        <v>19</v>
      </c>
      <c r="E170" s="5" t="s">
        <v>52</v>
      </c>
      <c r="F170" s="5" t="s">
        <v>29</v>
      </c>
      <c r="G170" s="5">
        <v>34</v>
      </c>
      <c r="H170" s="5">
        <v>56770</v>
      </c>
      <c r="I170" s="9">
        <f t="shared" si="2"/>
        <v>1930180</v>
      </c>
    </row>
    <row r="171" spans="1:9" x14ac:dyDescent="0.3">
      <c r="A171" s="6">
        <v>45817</v>
      </c>
      <c r="B171" s="7">
        <v>45817</v>
      </c>
      <c r="C171" s="5" t="s">
        <v>10</v>
      </c>
      <c r="D171" s="5" t="s">
        <v>18</v>
      </c>
      <c r="E171" s="5" t="s">
        <v>25</v>
      </c>
      <c r="F171" s="5" t="s">
        <v>29</v>
      </c>
      <c r="G171" s="5">
        <v>44</v>
      </c>
      <c r="H171" s="5">
        <v>56685</v>
      </c>
      <c r="I171" s="9">
        <f t="shared" si="2"/>
        <v>2494140</v>
      </c>
    </row>
    <row r="172" spans="1:9" x14ac:dyDescent="0.3">
      <c r="A172" s="6">
        <v>45811</v>
      </c>
      <c r="B172" s="7">
        <v>45811</v>
      </c>
      <c r="C172" s="5" t="s">
        <v>9</v>
      </c>
      <c r="D172" s="5" t="s">
        <v>13</v>
      </c>
      <c r="E172" s="5" t="s">
        <v>57</v>
      </c>
      <c r="F172" s="5" t="s">
        <v>31</v>
      </c>
      <c r="G172" s="5">
        <v>22</v>
      </c>
      <c r="H172" s="5">
        <v>2935</v>
      </c>
      <c r="I172" s="9">
        <f t="shared" si="2"/>
        <v>64570</v>
      </c>
    </row>
    <row r="173" spans="1:9" x14ac:dyDescent="0.3">
      <c r="A173" s="6">
        <v>45737</v>
      </c>
      <c r="B173" s="7">
        <v>45737</v>
      </c>
      <c r="C173" s="5" t="s">
        <v>10</v>
      </c>
      <c r="D173" s="5" t="s">
        <v>18</v>
      </c>
      <c r="E173" s="5" t="s">
        <v>25</v>
      </c>
      <c r="F173" s="5" t="s">
        <v>31</v>
      </c>
      <c r="G173" s="5">
        <v>24</v>
      </c>
      <c r="H173" s="5">
        <v>3482</v>
      </c>
      <c r="I173" s="9">
        <f t="shared" si="2"/>
        <v>83568</v>
      </c>
    </row>
    <row r="174" spans="1:9" x14ac:dyDescent="0.3">
      <c r="A174" s="6">
        <v>45737</v>
      </c>
      <c r="B174" s="7">
        <v>45737</v>
      </c>
      <c r="C174" s="5" t="s">
        <v>8</v>
      </c>
      <c r="D174" s="5" t="s">
        <v>15</v>
      </c>
      <c r="E174" s="5" t="s">
        <v>54</v>
      </c>
      <c r="F174" s="5" t="s">
        <v>30</v>
      </c>
      <c r="G174" s="5">
        <v>30</v>
      </c>
      <c r="H174" s="5">
        <v>16760</v>
      </c>
      <c r="I174" s="9">
        <f t="shared" si="2"/>
        <v>502800</v>
      </c>
    </row>
    <row r="175" spans="1:9" x14ac:dyDescent="0.3">
      <c r="A175" s="6">
        <v>45747</v>
      </c>
      <c r="B175" s="7">
        <v>45747</v>
      </c>
      <c r="C175" s="5" t="s">
        <v>8</v>
      </c>
      <c r="D175" s="5" t="s">
        <v>12</v>
      </c>
      <c r="E175" s="5" t="s">
        <v>49</v>
      </c>
      <c r="F175" s="5" t="s">
        <v>32</v>
      </c>
      <c r="G175" s="5">
        <v>38</v>
      </c>
      <c r="H175" s="5">
        <v>20565</v>
      </c>
      <c r="I175" s="9">
        <f t="shared" si="2"/>
        <v>781470</v>
      </c>
    </row>
    <row r="176" spans="1:9" x14ac:dyDescent="0.3">
      <c r="A176" s="6">
        <v>45711</v>
      </c>
      <c r="B176" s="7">
        <v>45711</v>
      </c>
      <c r="C176" s="5" t="s">
        <v>10</v>
      </c>
      <c r="D176" s="5" t="s">
        <v>18</v>
      </c>
      <c r="E176" s="5" t="s">
        <v>25</v>
      </c>
      <c r="F176" s="5" t="s">
        <v>33</v>
      </c>
      <c r="G176" s="5">
        <v>24</v>
      </c>
      <c r="H176" s="5">
        <v>13028</v>
      </c>
      <c r="I176" s="9">
        <f t="shared" si="2"/>
        <v>312672</v>
      </c>
    </row>
    <row r="177" spans="1:9" x14ac:dyDescent="0.3">
      <c r="A177" s="6">
        <v>45733</v>
      </c>
      <c r="B177" s="7">
        <v>45733</v>
      </c>
      <c r="C177" s="5" t="s">
        <v>9</v>
      </c>
      <c r="D177" s="5" t="s">
        <v>23</v>
      </c>
      <c r="E177" s="5" t="s">
        <v>60</v>
      </c>
      <c r="F177" s="5" t="s">
        <v>33</v>
      </c>
      <c r="G177" s="5">
        <v>12</v>
      </c>
      <c r="H177" s="5">
        <v>13479</v>
      </c>
      <c r="I177" s="9">
        <f t="shared" si="2"/>
        <v>161748</v>
      </c>
    </row>
    <row r="178" spans="1:9" x14ac:dyDescent="0.3">
      <c r="A178" s="6">
        <v>45806</v>
      </c>
      <c r="B178" s="7">
        <v>45806</v>
      </c>
      <c r="C178" s="5" t="s">
        <v>9</v>
      </c>
      <c r="D178" s="5" t="s">
        <v>13</v>
      </c>
      <c r="E178" s="5" t="s">
        <v>57</v>
      </c>
      <c r="F178" s="5" t="s">
        <v>30</v>
      </c>
      <c r="G178" s="5">
        <v>17</v>
      </c>
      <c r="H178" s="5">
        <v>16564</v>
      </c>
      <c r="I178" s="9">
        <f t="shared" si="2"/>
        <v>281588</v>
      </c>
    </row>
    <row r="179" spans="1:9" x14ac:dyDescent="0.3">
      <c r="A179" s="6">
        <v>45675</v>
      </c>
      <c r="B179" s="7">
        <v>45675</v>
      </c>
      <c r="C179" s="5" t="s">
        <v>11</v>
      </c>
      <c r="D179" s="5" t="s">
        <v>22</v>
      </c>
      <c r="E179" s="5" t="s">
        <v>59</v>
      </c>
      <c r="F179" s="5" t="s">
        <v>29</v>
      </c>
      <c r="G179" s="5">
        <v>50</v>
      </c>
      <c r="H179" s="5">
        <v>55250</v>
      </c>
      <c r="I179" s="9">
        <f t="shared" si="2"/>
        <v>2762500</v>
      </c>
    </row>
    <row r="180" spans="1:9" x14ac:dyDescent="0.3">
      <c r="A180" s="6">
        <v>45755</v>
      </c>
      <c r="B180" s="7">
        <v>45755</v>
      </c>
      <c r="C180" s="5" t="s">
        <v>9</v>
      </c>
      <c r="D180" s="5" t="s">
        <v>13</v>
      </c>
      <c r="E180" s="5" t="s">
        <v>57</v>
      </c>
      <c r="F180" s="5" t="s">
        <v>30</v>
      </c>
      <c r="G180" s="5">
        <v>45</v>
      </c>
      <c r="H180" s="5">
        <v>19980</v>
      </c>
      <c r="I180" s="9">
        <f t="shared" si="2"/>
        <v>899100</v>
      </c>
    </row>
    <row r="181" spans="1:9" x14ac:dyDescent="0.3">
      <c r="A181" s="6">
        <v>45761</v>
      </c>
      <c r="B181" s="7">
        <v>45761</v>
      </c>
      <c r="C181" s="5" t="s">
        <v>10</v>
      </c>
      <c r="D181" s="5" t="s">
        <v>18</v>
      </c>
      <c r="E181" s="5" t="s">
        <v>25</v>
      </c>
      <c r="F181" s="5" t="s">
        <v>32</v>
      </c>
      <c r="G181" s="5">
        <v>18</v>
      </c>
      <c r="H181" s="5">
        <v>23325</v>
      </c>
      <c r="I181" s="9">
        <f t="shared" si="2"/>
        <v>419850</v>
      </c>
    </row>
    <row r="182" spans="1:9" x14ac:dyDescent="0.3">
      <c r="A182" s="6">
        <v>45709</v>
      </c>
      <c r="B182" s="7">
        <v>45709</v>
      </c>
      <c r="C182" s="5" t="s">
        <v>10</v>
      </c>
      <c r="D182" s="5" t="s">
        <v>16</v>
      </c>
      <c r="E182" s="5" t="s">
        <v>46</v>
      </c>
      <c r="F182" s="5" t="s">
        <v>32</v>
      </c>
      <c r="G182" s="5">
        <v>27</v>
      </c>
      <c r="H182" s="5">
        <v>22475</v>
      </c>
      <c r="I182" s="9">
        <f t="shared" si="2"/>
        <v>606825</v>
      </c>
    </row>
    <row r="183" spans="1:9" x14ac:dyDescent="0.3">
      <c r="A183" s="6">
        <v>45804</v>
      </c>
      <c r="B183" s="7">
        <v>45804</v>
      </c>
      <c r="C183" s="5" t="s">
        <v>10</v>
      </c>
      <c r="D183" s="5" t="s">
        <v>16</v>
      </c>
      <c r="E183" s="5" t="s">
        <v>46</v>
      </c>
      <c r="F183" s="5" t="s">
        <v>30</v>
      </c>
      <c r="G183" s="5">
        <v>14</v>
      </c>
      <c r="H183" s="5">
        <v>18377</v>
      </c>
      <c r="I183" s="9">
        <f t="shared" si="2"/>
        <v>257278</v>
      </c>
    </row>
    <row r="184" spans="1:9" x14ac:dyDescent="0.3">
      <c r="A184" s="6">
        <v>45735</v>
      </c>
      <c r="B184" s="7">
        <v>45735</v>
      </c>
      <c r="C184" s="5" t="s">
        <v>10</v>
      </c>
      <c r="D184" s="5" t="s">
        <v>16</v>
      </c>
      <c r="E184" s="5" t="s">
        <v>46</v>
      </c>
      <c r="F184" s="5" t="s">
        <v>31</v>
      </c>
      <c r="G184" s="5">
        <v>8</v>
      </c>
      <c r="H184" s="5">
        <v>3517</v>
      </c>
      <c r="I184" s="9">
        <f t="shared" si="2"/>
        <v>28136</v>
      </c>
    </row>
    <row r="185" spans="1:9" x14ac:dyDescent="0.3">
      <c r="A185" s="6">
        <v>45713</v>
      </c>
      <c r="B185" s="7">
        <v>45713</v>
      </c>
      <c r="C185" s="5" t="s">
        <v>9</v>
      </c>
      <c r="D185" s="5" t="s">
        <v>13</v>
      </c>
      <c r="E185" s="5" t="s">
        <v>57</v>
      </c>
      <c r="F185" s="5" t="s">
        <v>32</v>
      </c>
      <c r="G185" s="5">
        <v>32</v>
      </c>
      <c r="H185" s="5">
        <v>22167</v>
      </c>
      <c r="I185" s="9">
        <f t="shared" si="2"/>
        <v>709344</v>
      </c>
    </row>
    <row r="186" spans="1:9" x14ac:dyDescent="0.3">
      <c r="A186" s="6">
        <v>45666</v>
      </c>
      <c r="B186" s="7">
        <v>45666</v>
      </c>
      <c r="C186" s="5" t="s">
        <v>10</v>
      </c>
      <c r="D186" s="5" t="s">
        <v>16</v>
      </c>
      <c r="E186" s="5" t="s">
        <v>47</v>
      </c>
      <c r="F186" s="5" t="s">
        <v>32</v>
      </c>
      <c r="G186" s="5">
        <v>11</v>
      </c>
      <c r="H186" s="5">
        <v>23785</v>
      </c>
      <c r="I186" s="9">
        <f t="shared" si="2"/>
        <v>261635</v>
      </c>
    </row>
    <row r="187" spans="1:9" x14ac:dyDescent="0.3">
      <c r="A187" s="6">
        <v>45717</v>
      </c>
      <c r="B187" s="7">
        <v>45717</v>
      </c>
      <c r="C187" s="5" t="s">
        <v>8</v>
      </c>
      <c r="D187" s="5" t="s">
        <v>21</v>
      </c>
      <c r="E187" s="5" t="s">
        <v>45</v>
      </c>
      <c r="F187" s="5" t="s">
        <v>29</v>
      </c>
      <c r="G187" s="5">
        <v>31</v>
      </c>
      <c r="H187" s="5">
        <v>56517</v>
      </c>
      <c r="I187" s="9">
        <f t="shared" si="2"/>
        <v>1752027</v>
      </c>
    </row>
    <row r="188" spans="1:9" x14ac:dyDescent="0.3">
      <c r="A188" s="6">
        <v>45721</v>
      </c>
      <c r="B188" s="7">
        <v>45721</v>
      </c>
      <c r="C188" s="5" t="s">
        <v>9</v>
      </c>
      <c r="D188" s="5" t="s">
        <v>13</v>
      </c>
      <c r="E188" s="5" t="s">
        <v>57</v>
      </c>
      <c r="F188" s="5" t="s">
        <v>32</v>
      </c>
      <c r="G188" s="5">
        <v>33</v>
      </c>
      <c r="H188" s="5">
        <v>23123</v>
      </c>
      <c r="I188" s="9">
        <f t="shared" si="2"/>
        <v>763059</v>
      </c>
    </row>
    <row r="189" spans="1:9" x14ac:dyDescent="0.3">
      <c r="A189" s="6">
        <v>45663</v>
      </c>
      <c r="B189" s="7">
        <v>45663</v>
      </c>
      <c r="C189" s="5" t="s">
        <v>8</v>
      </c>
      <c r="D189" s="5" t="s">
        <v>15</v>
      </c>
      <c r="E189" s="5" t="s">
        <v>54</v>
      </c>
      <c r="F189" s="5" t="s">
        <v>30</v>
      </c>
      <c r="G189" s="5">
        <v>9</v>
      </c>
      <c r="H189" s="5">
        <v>16549</v>
      </c>
      <c r="I189" s="9">
        <f t="shared" si="2"/>
        <v>148941</v>
      </c>
    </row>
    <row r="190" spans="1:9" x14ac:dyDescent="0.3">
      <c r="A190" s="6">
        <v>45727</v>
      </c>
      <c r="B190" s="7">
        <v>45727</v>
      </c>
      <c r="C190" s="5" t="s">
        <v>8</v>
      </c>
      <c r="D190" s="5" t="s">
        <v>15</v>
      </c>
      <c r="E190" s="5" t="s">
        <v>55</v>
      </c>
      <c r="F190" s="5" t="s">
        <v>32</v>
      </c>
      <c r="G190" s="5">
        <v>9</v>
      </c>
      <c r="H190" s="5">
        <v>23199</v>
      </c>
      <c r="I190" s="9">
        <f t="shared" si="2"/>
        <v>208791</v>
      </c>
    </row>
    <row r="191" spans="1:9" x14ac:dyDescent="0.3">
      <c r="A191" s="6">
        <v>45684</v>
      </c>
      <c r="B191" s="7">
        <v>45684</v>
      </c>
      <c r="C191" s="5" t="s">
        <v>10</v>
      </c>
      <c r="D191" s="5" t="s">
        <v>16</v>
      </c>
      <c r="E191" s="5" t="s">
        <v>47</v>
      </c>
      <c r="F191" s="5" t="s">
        <v>30</v>
      </c>
      <c r="G191" s="5">
        <v>47</v>
      </c>
      <c r="H191" s="5">
        <v>19730</v>
      </c>
      <c r="I191" s="9">
        <f t="shared" si="2"/>
        <v>927310</v>
      </c>
    </row>
    <row r="192" spans="1:9" x14ac:dyDescent="0.3">
      <c r="A192" s="6">
        <v>45679</v>
      </c>
      <c r="B192" s="7">
        <v>45679</v>
      </c>
      <c r="C192" s="5" t="s">
        <v>11</v>
      </c>
      <c r="D192" s="5" t="s">
        <v>20</v>
      </c>
      <c r="E192" s="5" t="s">
        <v>24</v>
      </c>
      <c r="F192" s="5" t="s">
        <v>30</v>
      </c>
      <c r="G192" s="5">
        <v>33</v>
      </c>
      <c r="H192" s="5">
        <v>16224</v>
      </c>
      <c r="I192" s="9">
        <f t="shared" si="2"/>
        <v>535392</v>
      </c>
    </row>
    <row r="193" spans="1:9" x14ac:dyDescent="0.3">
      <c r="A193" s="6">
        <v>45765</v>
      </c>
      <c r="B193" s="7">
        <v>45765</v>
      </c>
      <c r="C193" s="5" t="s">
        <v>9</v>
      </c>
      <c r="D193" s="5" t="s">
        <v>23</v>
      </c>
      <c r="E193" s="5" t="s">
        <v>60</v>
      </c>
      <c r="F193" s="5" t="s">
        <v>33</v>
      </c>
      <c r="G193" s="5">
        <v>29</v>
      </c>
      <c r="H193" s="5">
        <v>12940</v>
      </c>
      <c r="I193" s="9">
        <f t="shared" si="2"/>
        <v>375260</v>
      </c>
    </row>
    <row r="194" spans="1:9" x14ac:dyDescent="0.3">
      <c r="A194" s="6">
        <v>45801</v>
      </c>
      <c r="B194" s="7">
        <v>45801</v>
      </c>
      <c r="C194" s="5" t="s">
        <v>8</v>
      </c>
      <c r="D194" s="5" t="s">
        <v>15</v>
      </c>
      <c r="E194" s="5" t="s">
        <v>55</v>
      </c>
      <c r="F194" s="5" t="s">
        <v>29</v>
      </c>
      <c r="G194" s="5">
        <v>49</v>
      </c>
      <c r="H194" s="5">
        <v>53908</v>
      </c>
      <c r="I194" s="9">
        <f t="shared" si="2"/>
        <v>2641492</v>
      </c>
    </row>
    <row r="195" spans="1:9" x14ac:dyDescent="0.3">
      <c r="A195" s="6">
        <v>45662</v>
      </c>
      <c r="B195" s="7">
        <v>45662</v>
      </c>
      <c r="C195" s="5" t="s">
        <v>8</v>
      </c>
      <c r="D195" s="5" t="s">
        <v>15</v>
      </c>
      <c r="E195" s="5" t="s">
        <v>55</v>
      </c>
      <c r="F195" s="5" t="s">
        <v>32</v>
      </c>
      <c r="G195" s="5">
        <v>45</v>
      </c>
      <c r="H195" s="5">
        <v>22603</v>
      </c>
      <c r="I195" s="9">
        <f t="shared" ref="I195:I221" si="3">H195*G195</f>
        <v>1017135</v>
      </c>
    </row>
    <row r="196" spans="1:9" x14ac:dyDescent="0.3">
      <c r="A196" s="6">
        <v>45785</v>
      </c>
      <c r="B196" s="7">
        <v>45785</v>
      </c>
      <c r="C196" s="5" t="s">
        <v>10</v>
      </c>
      <c r="D196" s="5" t="s">
        <v>18</v>
      </c>
      <c r="E196" s="5" t="s">
        <v>25</v>
      </c>
      <c r="F196" s="5" t="s">
        <v>29</v>
      </c>
      <c r="G196" s="5">
        <v>36</v>
      </c>
      <c r="H196" s="5">
        <v>54619</v>
      </c>
      <c r="I196" s="9">
        <f t="shared" si="3"/>
        <v>1966284</v>
      </c>
    </row>
    <row r="197" spans="1:9" x14ac:dyDescent="0.3">
      <c r="A197" s="6">
        <v>45686</v>
      </c>
      <c r="B197" s="7">
        <v>45686</v>
      </c>
      <c r="C197" s="5" t="s">
        <v>8</v>
      </c>
      <c r="D197" s="5" t="s">
        <v>15</v>
      </c>
      <c r="E197" s="5" t="s">
        <v>55</v>
      </c>
      <c r="F197" s="5" t="s">
        <v>33</v>
      </c>
      <c r="G197" s="5">
        <v>47</v>
      </c>
      <c r="H197" s="5">
        <v>10058</v>
      </c>
      <c r="I197" s="9">
        <f t="shared" si="3"/>
        <v>472726</v>
      </c>
    </row>
    <row r="198" spans="1:9" x14ac:dyDescent="0.3">
      <c r="A198" s="6">
        <v>45779</v>
      </c>
      <c r="B198" s="7">
        <v>45779</v>
      </c>
      <c r="C198" s="5" t="s">
        <v>11</v>
      </c>
      <c r="D198" s="5" t="s">
        <v>22</v>
      </c>
      <c r="E198" s="5" t="s">
        <v>59</v>
      </c>
      <c r="F198" s="5" t="s">
        <v>33</v>
      </c>
      <c r="G198" s="5">
        <v>7</v>
      </c>
      <c r="H198" s="5">
        <v>12435</v>
      </c>
      <c r="I198" s="9">
        <f t="shared" si="3"/>
        <v>87045</v>
      </c>
    </row>
    <row r="199" spans="1:9" x14ac:dyDescent="0.3">
      <c r="A199" s="6">
        <v>45811</v>
      </c>
      <c r="B199" s="7">
        <v>45811</v>
      </c>
      <c r="C199" s="5" t="s">
        <v>8</v>
      </c>
      <c r="D199" s="5" t="s">
        <v>12</v>
      </c>
      <c r="E199" s="5" t="s">
        <v>49</v>
      </c>
      <c r="F199" s="5" t="s">
        <v>29</v>
      </c>
      <c r="G199" s="5">
        <v>43</v>
      </c>
      <c r="H199" s="5">
        <v>56917</v>
      </c>
      <c r="I199" s="9">
        <f t="shared" si="3"/>
        <v>2447431</v>
      </c>
    </row>
    <row r="200" spans="1:9" x14ac:dyDescent="0.3">
      <c r="A200" s="6">
        <v>45701</v>
      </c>
      <c r="B200" s="7">
        <v>45701</v>
      </c>
      <c r="C200" s="5" t="s">
        <v>10</v>
      </c>
      <c r="D200" s="5" t="s">
        <v>16</v>
      </c>
      <c r="E200" s="5" t="s">
        <v>47</v>
      </c>
      <c r="F200" s="5" t="s">
        <v>31</v>
      </c>
      <c r="G200" s="5">
        <v>40</v>
      </c>
      <c r="H200" s="5">
        <v>3784</v>
      </c>
      <c r="I200" s="9">
        <f t="shared" si="3"/>
        <v>151360</v>
      </c>
    </row>
    <row r="201" spans="1:9" x14ac:dyDescent="0.3">
      <c r="A201" s="6">
        <v>45708</v>
      </c>
      <c r="B201" s="7">
        <v>45708</v>
      </c>
      <c r="C201" s="5" t="s">
        <v>8</v>
      </c>
      <c r="D201" s="5" t="s">
        <v>12</v>
      </c>
      <c r="E201" s="5" t="s">
        <v>49</v>
      </c>
      <c r="F201" s="5" t="s">
        <v>32</v>
      </c>
      <c r="G201" s="5">
        <v>20</v>
      </c>
      <c r="H201" s="5">
        <v>20122</v>
      </c>
      <c r="I201" s="9">
        <f t="shared" si="3"/>
        <v>402440</v>
      </c>
    </row>
    <row r="202" spans="1:9" x14ac:dyDescent="0.3">
      <c r="A202" s="6">
        <v>45731</v>
      </c>
      <c r="B202" s="7">
        <v>45731</v>
      </c>
      <c r="C202" s="5" t="s">
        <v>10</v>
      </c>
      <c r="D202" s="5" t="s">
        <v>18</v>
      </c>
      <c r="E202" s="5" t="s">
        <v>25</v>
      </c>
      <c r="F202" s="5" t="s">
        <v>32</v>
      </c>
      <c r="G202" s="5">
        <v>49</v>
      </c>
      <c r="H202" s="5">
        <v>22044</v>
      </c>
      <c r="I202" s="9">
        <f t="shared" si="3"/>
        <v>1080156</v>
      </c>
    </row>
    <row r="203" spans="1:9" x14ac:dyDescent="0.3">
      <c r="A203" s="6">
        <v>45832</v>
      </c>
      <c r="B203" s="7">
        <v>45832</v>
      </c>
      <c r="C203" s="5" t="s">
        <v>8</v>
      </c>
      <c r="D203" s="5" t="s">
        <v>21</v>
      </c>
      <c r="E203" s="5" t="s">
        <v>45</v>
      </c>
      <c r="F203" s="5" t="s">
        <v>31</v>
      </c>
      <c r="G203" s="5">
        <v>24</v>
      </c>
      <c r="H203" s="5">
        <v>1660</v>
      </c>
      <c r="I203" s="9">
        <f t="shared" si="3"/>
        <v>39840</v>
      </c>
    </row>
    <row r="204" spans="1:9" x14ac:dyDescent="0.3">
      <c r="A204" s="6">
        <v>45831</v>
      </c>
      <c r="B204" s="7">
        <v>45831</v>
      </c>
      <c r="C204" s="5" t="s">
        <v>11</v>
      </c>
      <c r="D204" s="5" t="s">
        <v>19</v>
      </c>
      <c r="E204" s="5" t="s">
        <v>52</v>
      </c>
      <c r="F204" s="5" t="s">
        <v>31</v>
      </c>
      <c r="G204" s="5">
        <v>39</v>
      </c>
      <c r="H204" s="5">
        <v>4842</v>
      </c>
      <c r="I204" s="9">
        <f t="shared" si="3"/>
        <v>188838</v>
      </c>
    </row>
    <row r="205" spans="1:9" x14ac:dyDescent="0.3">
      <c r="A205" s="6">
        <v>45710</v>
      </c>
      <c r="B205" s="7">
        <v>45710</v>
      </c>
      <c r="C205" s="5" t="s">
        <v>8</v>
      </c>
      <c r="D205" s="5" t="s">
        <v>15</v>
      </c>
      <c r="E205" s="5" t="s">
        <v>55</v>
      </c>
      <c r="F205" s="5" t="s">
        <v>30</v>
      </c>
      <c r="G205" s="5">
        <v>29</v>
      </c>
      <c r="H205" s="5">
        <v>19299</v>
      </c>
      <c r="I205" s="9">
        <f t="shared" si="3"/>
        <v>559671</v>
      </c>
    </row>
    <row r="206" spans="1:9" x14ac:dyDescent="0.3">
      <c r="A206" s="6">
        <v>45812</v>
      </c>
      <c r="B206" s="7">
        <v>45812</v>
      </c>
      <c r="C206" s="5" t="s">
        <v>9</v>
      </c>
      <c r="D206" s="5" t="s">
        <v>13</v>
      </c>
      <c r="E206" s="5" t="s">
        <v>57</v>
      </c>
      <c r="F206" s="5" t="s">
        <v>31</v>
      </c>
      <c r="G206" s="5">
        <v>12</v>
      </c>
      <c r="H206" s="5">
        <v>3510</v>
      </c>
      <c r="I206" s="9">
        <f t="shared" si="3"/>
        <v>42120</v>
      </c>
    </row>
    <row r="207" spans="1:9" x14ac:dyDescent="0.3">
      <c r="A207" s="6">
        <v>45661</v>
      </c>
      <c r="B207" s="7">
        <v>45661</v>
      </c>
      <c r="C207" s="5" t="s">
        <v>8</v>
      </c>
      <c r="D207" s="5" t="s">
        <v>15</v>
      </c>
      <c r="E207" s="5" t="s">
        <v>55</v>
      </c>
      <c r="F207" s="5" t="s">
        <v>32</v>
      </c>
      <c r="G207" s="5">
        <v>30</v>
      </c>
      <c r="H207" s="5">
        <v>20912</v>
      </c>
      <c r="I207" s="9">
        <f t="shared" si="3"/>
        <v>627360</v>
      </c>
    </row>
    <row r="208" spans="1:9" x14ac:dyDescent="0.3">
      <c r="A208" s="6">
        <v>45771</v>
      </c>
      <c r="B208" s="7">
        <v>45771</v>
      </c>
      <c r="C208" s="5" t="s">
        <v>10</v>
      </c>
      <c r="D208" s="5" t="s">
        <v>17</v>
      </c>
      <c r="E208" s="5" t="s">
        <v>50</v>
      </c>
      <c r="F208" s="5" t="s">
        <v>29</v>
      </c>
      <c r="G208" s="5">
        <v>25</v>
      </c>
      <c r="H208" s="5">
        <v>56641</v>
      </c>
      <c r="I208" s="9">
        <f t="shared" si="3"/>
        <v>1416025</v>
      </c>
    </row>
    <row r="209" spans="1:9" x14ac:dyDescent="0.3">
      <c r="A209" s="6">
        <v>45837</v>
      </c>
      <c r="B209" s="7">
        <v>45837</v>
      </c>
      <c r="C209" s="5" t="s">
        <v>11</v>
      </c>
      <c r="D209" s="5" t="s">
        <v>22</v>
      </c>
      <c r="E209" s="5" t="s">
        <v>59</v>
      </c>
      <c r="F209" s="5" t="s">
        <v>29</v>
      </c>
      <c r="G209" s="5">
        <v>26</v>
      </c>
      <c r="H209" s="5">
        <v>54879</v>
      </c>
      <c r="I209" s="9">
        <f t="shared" si="3"/>
        <v>1426854</v>
      </c>
    </row>
    <row r="210" spans="1:9" x14ac:dyDescent="0.3">
      <c r="A210" s="6">
        <v>45776</v>
      </c>
      <c r="B210" s="7">
        <v>45776</v>
      </c>
      <c r="C210" s="5" t="s">
        <v>8</v>
      </c>
      <c r="D210" s="5" t="s">
        <v>21</v>
      </c>
      <c r="E210" s="5" t="s">
        <v>45</v>
      </c>
      <c r="F210" s="5" t="s">
        <v>31</v>
      </c>
      <c r="G210" s="5">
        <v>7</v>
      </c>
      <c r="H210" s="5">
        <v>3498</v>
      </c>
      <c r="I210" s="9">
        <f t="shared" si="3"/>
        <v>24486</v>
      </c>
    </row>
    <row r="211" spans="1:9" x14ac:dyDescent="0.3">
      <c r="A211" s="6">
        <v>45750</v>
      </c>
      <c r="B211" s="7">
        <v>45750</v>
      </c>
      <c r="C211" s="5" t="s">
        <v>8</v>
      </c>
      <c r="D211" s="5" t="s">
        <v>15</v>
      </c>
      <c r="E211" s="5" t="s">
        <v>55</v>
      </c>
      <c r="F211" s="5" t="s">
        <v>29</v>
      </c>
      <c r="G211" s="5">
        <v>22</v>
      </c>
      <c r="H211" s="5">
        <v>54563</v>
      </c>
      <c r="I211" s="9">
        <f t="shared" si="3"/>
        <v>1200386</v>
      </c>
    </row>
    <row r="212" spans="1:9" x14ac:dyDescent="0.3">
      <c r="A212" s="6">
        <v>45684</v>
      </c>
      <c r="B212" s="7">
        <v>45684</v>
      </c>
      <c r="C212" s="5" t="s">
        <v>9</v>
      </c>
      <c r="D212" s="5" t="s">
        <v>14</v>
      </c>
      <c r="E212" s="5" t="s">
        <v>26</v>
      </c>
      <c r="F212" s="5" t="s">
        <v>32</v>
      </c>
      <c r="G212" s="5">
        <v>23</v>
      </c>
      <c r="H212" s="5">
        <v>22317</v>
      </c>
      <c r="I212" s="9">
        <f t="shared" si="3"/>
        <v>513291</v>
      </c>
    </row>
    <row r="213" spans="1:9" x14ac:dyDescent="0.3">
      <c r="A213" s="6">
        <v>45725</v>
      </c>
      <c r="B213" s="7">
        <v>45725</v>
      </c>
      <c r="C213" s="5" t="s">
        <v>10</v>
      </c>
      <c r="D213" s="5" t="s">
        <v>17</v>
      </c>
      <c r="E213" s="5" t="s">
        <v>50</v>
      </c>
      <c r="F213" s="5" t="s">
        <v>31</v>
      </c>
      <c r="G213" s="5">
        <v>9</v>
      </c>
      <c r="H213" s="5">
        <v>1274</v>
      </c>
      <c r="I213" s="9">
        <f t="shared" si="3"/>
        <v>11466</v>
      </c>
    </row>
    <row r="214" spans="1:9" x14ac:dyDescent="0.3">
      <c r="A214" s="6">
        <v>45803</v>
      </c>
      <c r="B214" s="7">
        <v>45803</v>
      </c>
      <c r="C214" s="5" t="s">
        <v>10</v>
      </c>
      <c r="D214" s="5" t="s">
        <v>16</v>
      </c>
      <c r="E214" s="5" t="s">
        <v>47</v>
      </c>
      <c r="F214" s="5" t="s">
        <v>32</v>
      </c>
      <c r="G214" s="5">
        <v>21</v>
      </c>
      <c r="H214" s="5">
        <v>20393</v>
      </c>
      <c r="I214" s="9">
        <f t="shared" si="3"/>
        <v>428253</v>
      </c>
    </row>
    <row r="215" spans="1:9" x14ac:dyDescent="0.3">
      <c r="A215" s="6">
        <v>45756</v>
      </c>
      <c r="B215" s="7">
        <v>45756</v>
      </c>
      <c r="C215" s="5" t="s">
        <v>11</v>
      </c>
      <c r="D215" s="5" t="s">
        <v>19</v>
      </c>
      <c r="E215" s="5" t="s">
        <v>52</v>
      </c>
      <c r="F215" s="5" t="s">
        <v>29</v>
      </c>
      <c r="G215" s="5">
        <v>31</v>
      </c>
      <c r="H215" s="5">
        <v>54220</v>
      </c>
      <c r="I215" s="9">
        <f t="shared" si="3"/>
        <v>1680820</v>
      </c>
    </row>
    <row r="216" spans="1:9" x14ac:dyDescent="0.3">
      <c r="A216" s="6">
        <v>45705</v>
      </c>
      <c r="B216" s="7">
        <v>45705</v>
      </c>
      <c r="C216" s="5" t="s">
        <v>10</v>
      </c>
      <c r="D216" s="5" t="s">
        <v>18</v>
      </c>
      <c r="E216" s="5" t="s">
        <v>25</v>
      </c>
      <c r="F216" s="5" t="s">
        <v>32</v>
      </c>
      <c r="G216" s="5">
        <v>12</v>
      </c>
      <c r="H216" s="5">
        <v>22928</v>
      </c>
      <c r="I216" s="9">
        <f t="shared" si="3"/>
        <v>275136</v>
      </c>
    </row>
    <row r="217" spans="1:9" x14ac:dyDescent="0.3">
      <c r="A217" s="6">
        <v>45764</v>
      </c>
      <c r="B217" s="7">
        <v>45764</v>
      </c>
      <c r="C217" s="5" t="s">
        <v>8</v>
      </c>
      <c r="D217" s="5" t="s">
        <v>15</v>
      </c>
      <c r="E217" s="5" t="s">
        <v>55</v>
      </c>
      <c r="F217" s="5" t="s">
        <v>29</v>
      </c>
      <c r="G217" s="5">
        <v>50</v>
      </c>
      <c r="H217" s="5">
        <v>53032</v>
      </c>
      <c r="I217" s="9">
        <f t="shared" si="3"/>
        <v>2651600</v>
      </c>
    </row>
    <row r="218" spans="1:9" x14ac:dyDescent="0.3">
      <c r="A218" s="6">
        <v>45796</v>
      </c>
      <c r="B218" s="7">
        <v>45796</v>
      </c>
      <c r="C218" s="5" t="s">
        <v>11</v>
      </c>
      <c r="D218" s="5" t="s">
        <v>22</v>
      </c>
      <c r="E218" s="5" t="s">
        <v>59</v>
      </c>
      <c r="F218" s="5" t="s">
        <v>33</v>
      </c>
      <c r="G218" s="5">
        <v>39</v>
      </c>
      <c r="H218" s="5">
        <v>13374</v>
      </c>
      <c r="I218" s="9">
        <f t="shared" si="3"/>
        <v>521586</v>
      </c>
    </row>
    <row r="219" spans="1:9" x14ac:dyDescent="0.3">
      <c r="A219" s="6">
        <v>45773</v>
      </c>
      <c r="B219" s="7">
        <v>45773</v>
      </c>
      <c r="C219" s="5" t="s">
        <v>8</v>
      </c>
      <c r="D219" s="5" t="s">
        <v>21</v>
      </c>
      <c r="E219" s="5" t="s">
        <v>45</v>
      </c>
      <c r="F219" s="5" t="s">
        <v>30</v>
      </c>
      <c r="G219" s="5">
        <v>26</v>
      </c>
      <c r="H219" s="5">
        <v>16537</v>
      </c>
      <c r="I219" s="9">
        <f t="shared" si="3"/>
        <v>429962</v>
      </c>
    </row>
    <row r="220" spans="1:9" x14ac:dyDescent="0.3">
      <c r="A220" s="6">
        <v>45676</v>
      </c>
      <c r="B220" s="7">
        <v>45676</v>
      </c>
      <c r="C220" s="5" t="s">
        <v>11</v>
      </c>
      <c r="D220" s="5" t="s">
        <v>19</v>
      </c>
      <c r="E220" s="5" t="s">
        <v>52</v>
      </c>
      <c r="F220" s="5" t="s">
        <v>29</v>
      </c>
      <c r="G220" s="5">
        <v>39</v>
      </c>
      <c r="H220" s="5">
        <v>53461</v>
      </c>
      <c r="I220" s="9">
        <f t="shared" si="3"/>
        <v>2084979</v>
      </c>
    </row>
    <row r="221" spans="1:9" x14ac:dyDescent="0.3">
      <c r="A221" s="6">
        <v>45721</v>
      </c>
      <c r="B221" s="7">
        <v>45721</v>
      </c>
      <c r="C221" s="5" t="s">
        <v>11</v>
      </c>
      <c r="D221" s="5" t="s">
        <v>22</v>
      </c>
      <c r="E221" s="5" t="s">
        <v>59</v>
      </c>
      <c r="F221" s="5" t="s">
        <v>33</v>
      </c>
      <c r="G221" s="5">
        <v>20</v>
      </c>
      <c r="H221" s="5">
        <v>10641</v>
      </c>
      <c r="I221" s="9">
        <f t="shared" si="3"/>
        <v>212820</v>
      </c>
    </row>
  </sheetData>
  <autoFilter ref="A1:I221"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Piviot data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jeeshan shaikh</cp:lastModifiedBy>
  <dcterms:created xsi:type="dcterms:W3CDTF">2025-08-16T07:22:01Z</dcterms:created>
  <dcterms:modified xsi:type="dcterms:W3CDTF">2025-09-23T07:03:10Z</dcterms:modified>
</cp:coreProperties>
</file>